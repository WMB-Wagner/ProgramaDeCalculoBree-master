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felipe.franchi\Documents\calculo_bree\bree_reactor_capacitors-Double-Spin-Box\Reator Fio\Modelos\"/>
    </mc:Choice>
  </mc:AlternateContent>
  <xr:revisionPtr revIDLastSave="0" documentId="13_ncr:1_{15FD09E9-97C8-4834-BA13-58CDE4E1919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T 8P (PT-BR)" sheetId="1" r:id="rId1"/>
    <sheet name="RET 16P (PT-BR)" sheetId="9" r:id="rId2"/>
  </sheets>
  <definedNames>
    <definedName name="_xlnm.Print_Area" localSheetId="1">'RET 16P (PT-BR)'!$B$2:$V$336</definedName>
    <definedName name="_xlnm.Print_Area" localSheetId="0">'RET 8P (PT-BR)'!$P$12:$X$24</definedName>
  </definedNames>
  <calcPr calcId="181029"/>
</workbook>
</file>

<file path=xl/calcChain.xml><?xml version="1.0" encoding="utf-8"?>
<calcChain xmlns="http://schemas.openxmlformats.org/spreadsheetml/2006/main">
  <c r="T61" i="1" l="1"/>
  <c r="P309" i="9"/>
  <c r="Q11" i="9"/>
  <c r="H11" i="9"/>
  <c r="R5" i="9"/>
  <c r="M5" i="9"/>
  <c r="H5" i="9"/>
  <c r="L309" i="1"/>
  <c r="L308" i="1"/>
  <c r="H16" i="9"/>
  <c r="F16" i="1"/>
  <c r="M11" i="1"/>
  <c r="F11" i="1"/>
  <c r="N5" i="1"/>
  <c r="I5" i="1"/>
  <c r="J325" i="9"/>
  <c r="P280" i="9"/>
  <c r="P289" i="9" s="1"/>
  <c r="E325" i="1"/>
  <c r="L280" i="1"/>
  <c r="J36" i="1"/>
  <c r="K236" i="9"/>
  <c r="K237" i="9"/>
  <c r="K238" i="9"/>
  <c r="K239" i="9"/>
  <c r="K240" i="9"/>
  <c r="K241" i="9"/>
  <c r="K242" i="9"/>
  <c r="K243" i="9"/>
  <c r="K244" i="9"/>
  <c r="K245" i="9"/>
  <c r="K246" i="9"/>
  <c r="K247" i="9"/>
  <c r="K248" i="9"/>
  <c r="K249" i="9"/>
  <c r="K250" i="9"/>
  <c r="P269" i="9"/>
  <c r="P270" i="9"/>
  <c r="Q271" i="9"/>
  <c r="AD57" i="9"/>
  <c r="AE57" i="9"/>
  <c r="AF57" i="9"/>
  <c r="AG57" i="9"/>
  <c r="AH57" i="9"/>
  <c r="AI57" i="9"/>
  <c r="AJ57" i="9"/>
  <c r="AK57" i="9"/>
  <c r="AD58" i="9"/>
  <c r="AE58" i="9"/>
  <c r="AF58" i="9"/>
  <c r="AG58" i="9"/>
  <c r="AH58" i="9"/>
  <c r="AI58" i="9"/>
  <c r="AJ58" i="9"/>
  <c r="AK58" i="9"/>
  <c r="AD59" i="9"/>
  <c r="AE59" i="9"/>
  <c r="AF59" i="9"/>
  <c r="AG59" i="9"/>
  <c r="AH59" i="9"/>
  <c r="AI59" i="9"/>
  <c r="AJ59" i="9"/>
  <c r="AK59" i="9"/>
  <c r="AD60" i="9"/>
  <c r="AE60" i="9"/>
  <c r="AF60" i="9"/>
  <c r="AG60" i="9"/>
  <c r="AH60" i="9"/>
  <c r="AI60" i="9"/>
  <c r="AJ60" i="9"/>
  <c r="AK60" i="9"/>
  <c r="AD61" i="9"/>
  <c r="AE61" i="9"/>
  <c r="AF61" i="9"/>
  <c r="AG61" i="9"/>
  <c r="AH61" i="9"/>
  <c r="AI61" i="9"/>
  <c r="AJ61" i="9"/>
  <c r="AK61" i="9"/>
  <c r="AD62" i="9"/>
  <c r="AE62" i="9"/>
  <c r="AF62" i="9"/>
  <c r="AG62" i="9"/>
  <c r="AH62" i="9"/>
  <c r="AI62" i="9"/>
  <c r="AJ62" i="9"/>
  <c r="AK62" i="9"/>
  <c r="AD63" i="9"/>
  <c r="AE63" i="9"/>
  <c r="AF63" i="9"/>
  <c r="AG63" i="9"/>
  <c r="AH63" i="9"/>
  <c r="AI63" i="9"/>
  <c r="AJ63" i="9"/>
  <c r="AK63" i="9"/>
  <c r="AD64" i="9"/>
  <c r="AE64" i="9"/>
  <c r="AF64" i="9"/>
  <c r="AG64" i="9"/>
  <c r="AH64" i="9"/>
  <c r="AI64" i="9"/>
  <c r="AJ64" i="9"/>
  <c r="AK64" i="9"/>
  <c r="AD65" i="9"/>
  <c r="AE65" i="9"/>
  <c r="AF65" i="9"/>
  <c r="AG65" i="9"/>
  <c r="AH65" i="9"/>
  <c r="AI65" i="9"/>
  <c r="AJ65" i="9"/>
  <c r="AK65" i="9"/>
  <c r="AD66" i="9"/>
  <c r="AE66" i="9"/>
  <c r="AF66" i="9"/>
  <c r="AG66" i="9"/>
  <c r="AH66" i="9"/>
  <c r="AI66" i="9"/>
  <c r="AJ66" i="9"/>
  <c r="AK66" i="9"/>
  <c r="Z5" i="9"/>
  <c r="AA5" i="9"/>
  <c r="AB5" i="9"/>
  <c r="AC5" i="9"/>
  <c r="AD5" i="9"/>
  <c r="AE5" i="9"/>
  <c r="AF5" i="9"/>
  <c r="AG5" i="9"/>
  <c r="AH5" i="9"/>
  <c r="AI5" i="9"/>
  <c r="AJ5" i="9"/>
  <c r="AK5" i="9"/>
  <c r="Z6" i="9"/>
  <c r="AA6" i="9"/>
  <c r="AB6" i="9"/>
  <c r="AC6" i="9"/>
  <c r="AD6" i="9"/>
  <c r="AE6" i="9"/>
  <c r="AF6" i="9"/>
  <c r="AG6" i="9"/>
  <c r="AH6" i="9"/>
  <c r="AI6" i="9"/>
  <c r="AJ6" i="9"/>
  <c r="AK6" i="9"/>
  <c r="Z7" i="9"/>
  <c r="AA7" i="9"/>
  <c r="AB7" i="9"/>
  <c r="AC7" i="9"/>
  <c r="AD7" i="9"/>
  <c r="AE7" i="9"/>
  <c r="AF7" i="9"/>
  <c r="AG7" i="9"/>
  <c r="AH7" i="9"/>
  <c r="AI7" i="9"/>
  <c r="AJ7" i="9"/>
  <c r="AK7" i="9"/>
  <c r="Z8" i="9"/>
  <c r="AA8" i="9"/>
  <c r="AB8" i="9"/>
  <c r="AC8" i="9"/>
  <c r="AD8" i="9"/>
  <c r="AE8" i="9"/>
  <c r="AF8" i="9"/>
  <c r="AG8" i="9"/>
  <c r="AH8" i="9"/>
  <c r="AI8" i="9"/>
  <c r="AJ8" i="9"/>
  <c r="AK8" i="9"/>
  <c r="Z9" i="9"/>
  <c r="AA9" i="9"/>
  <c r="AB9" i="9"/>
  <c r="AC9" i="9"/>
  <c r="AD9" i="9"/>
  <c r="AE9" i="9"/>
  <c r="AF9" i="9"/>
  <c r="AG9" i="9"/>
  <c r="AH9" i="9"/>
  <c r="AI9" i="9"/>
  <c r="AJ9" i="9"/>
  <c r="AK9" i="9"/>
  <c r="Z10" i="9"/>
  <c r="AA10" i="9"/>
  <c r="AB10" i="9"/>
  <c r="AC10" i="9"/>
  <c r="AD10" i="9"/>
  <c r="AE10" i="9"/>
  <c r="AF10" i="9"/>
  <c r="AG10" i="9"/>
  <c r="AH10" i="9"/>
  <c r="AI10" i="9"/>
  <c r="AJ10" i="9"/>
  <c r="AK10" i="9"/>
  <c r="Z11" i="9"/>
  <c r="AA11" i="9"/>
  <c r="AB11" i="9"/>
  <c r="AC11" i="9"/>
  <c r="AD11" i="9"/>
  <c r="AE11" i="9"/>
  <c r="AF11" i="9"/>
  <c r="AG11" i="9"/>
  <c r="AH11" i="9"/>
  <c r="AI11" i="9"/>
  <c r="AJ11" i="9"/>
  <c r="AK11" i="9"/>
  <c r="Z12" i="9"/>
  <c r="AA12" i="9"/>
  <c r="AB12" i="9"/>
  <c r="AC12" i="9"/>
  <c r="AD12" i="9"/>
  <c r="AE12" i="9"/>
  <c r="AF12" i="9"/>
  <c r="AG12" i="9"/>
  <c r="AH12" i="9"/>
  <c r="AI12" i="9"/>
  <c r="AJ12" i="9"/>
  <c r="AK12" i="9"/>
  <c r="Z13" i="9"/>
  <c r="AA13" i="9"/>
  <c r="AB13" i="9"/>
  <c r="AC13" i="9"/>
  <c r="AD13" i="9"/>
  <c r="AE13" i="9"/>
  <c r="AF13" i="9"/>
  <c r="AG13" i="9"/>
  <c r="AH13" i="9"/>
  <c r="AI13" i="9"/>
  <c r="AJ13" i="9"/>
  <c r="AK13" i="9"/>
  <c r="Z14" i="9"/>
  <c r="AA14" i="9"/>
  <c r="AB14" i="9"/>
  <c r="AC14" i="9"/>
  <c r="AD14" i="9"/>
  <c r="AE14" i="9"/>
  <c r="AF14" i="9"/>
  <c r="AG14" i="9"/>
  <c r="AH14" i="9"/>
  <c r="AI14" i="9"/>
  <c r="AJ14" i="9"/>
  <c r="AK14" i="9"/>
  <c r="Z15" i="9"/>
  <c r="AA15" i="9"/>
  <c r="AB15" i="9"/>
  <c r="AC15" i="9"/>
  <c r="AD15" i="9"/>
  <c r="AE15" i="9"/>
  <c r="AF15" i="9"/>
  <c r="AG15" i="9"/>
  <c r="AH15" i="9"/>
  <c r="AI15" i="9"/>
  <c r="AJ15" i="9"/>
  <c r="AK15" i="9"/>
  <c r="Z16" i="9"/>
  <c r="AA16" i="9"/>
  <c r="AB16" i="9"/>
  <c r="AC16" i="9"/>
  <c r="AD16" i="9"/>
  <c r="AE16" i="9"/>
  <c r="AF16" i="9"/>
  <c r="AG16" i="9"/>
  <c r="AH16" i="9"/>
  <c r="AI16" i="9"/>
  <c r="AJ16" i="9"/>
  <c r="AK16" i="9"/>
  <c r="Z17" i="9"/>
  <c r="AA17" i="9"/>
  <c r="AB17" i="9"/>
  <c r="AC17" i="9"/>
  <c r="AD17" i="9"/>
  <c r="AE17" i="9"/>
  <c r="AF17" i="9"/>
  <c r="AG17" i="9"/>
  <c r="AH17" i="9"/>
  <c r="AI17" i="9"/>
  <c r="AJ17" i="9"/>
  <c r="AK17" i="9"/>
  <c r="Z18" i="9"/>
  <c r="AA18" i="9"/>
  <c r="AB18" i="9"/>
  <c r="AC18" i="9"/>
  <c r="AD18" i="9"/>
  <c r="AE18" i="9"/>
  <c r="AF18" i="9"/>
  <c r="AG18" i="9"/>
  <c r="AH18" i="9"/>
  <c r="AI18" i="9"/>
  <c r="AJ18" i="9"/>
  <c r="AK18" i="9"/>
  <c r="Z19" i="9"/>
  <c r="AA19" i="9"/>
  <c r="AB19" i="9"/>
  <c r="AC19" i="9"/>
  <c r="AD19" i="9"/>
  <c r="AE19" i="9"/>
  <c r="AF19" i="9"/>
  <c r="AG19" i="9"/>
  <c r="AH19" i="9"/>
  <c r="AI19" i="9"/>
  <c r="AJ19" i="9"/>
  <c r="AK19" i="9"/>
  <c r="Z20" i="9"/>
  <c r="AA20" i="9"/>
  <c r="AB20" i="9"/>
  <c r="AC20" i="9"/>
  <c r="AD20" i="9"/>
  <c r="AE20" i="9"/>
  <c r="AF20" i="9"/>
  <c r="AG20" i="9"/>
  <c r="AH20" i="9"/>
  <c r="AI20" i="9"/>
  <c r="AJ20" i="9"/>
  <c r="AK20" i="9"/>
  <c r="Z21" i="9"/>
  <c r="AA21" i="9"/>
  <c r="AB21" i="9"/>
  <c r="AC21" i="9"/>
  <c r="AD21" i="9"/>
  <c r="AE21" i="9"/>
  <c r="AF21" i="9"/>
  <c r="AG21" i="9"/>
  <c r="AH21" i="9"/>
  <c r="AI21" i="9"/>
  <c r="AJ21" i="9"/>
  <c r="AK21" i="9"/>
  <c r="Z22" i="9"/>
  <c r="AA22" i="9"/>
  <c r="AB22" i="9"/>
  <c r="AC22" i="9"/>
  <c r="AD22" i="9"/>
  <c r="AE22" i="9"/>
  <c r="AF22" i="9"/>
  <c r="AG22" i="9"/>
  <c r="AH22" i="9"/>
  <c r="AI22" i="9"/>
  <c r="AJ22" i="9"/>
  <c r="AK22" i="9"/>
  <c r="Z23" i="9"/>
  <c r="AA23" i="9"/>
  <c r="AB23" i="9"/>
  <c r="AC23" i="9"/>
  <c r="AD23" i="9"/>
  <c r="AE23" i="9"/>
  <c r="AF23" i="9"/>
  <c r="AG23" i="9"/>
  <c r="AH23" i="9"/>
  <c r="AI23" i="9"/>
  <c r="AJ23" i="9"/>
  <c r="AK23" i="9"/>
  <c r="Z24" i="9"/>
  <c r="AA24" i="9"/>
  <c r="AB24" i="9"/>
  <c r="AC24" i="9"/>
  <c r="AD24" i="9"/>
  <c r="AE24" i="9"/>
  <c r="AF24" i="9"/>
  <c r="AG24" i="9"/>
  <c r="AH24" i="9"/>
  <c r="AI24" i="9"/>
  <c r="AJ24" i="9"/>
  <c r="AK24" i="9"/>
  <c r="P299" i="9"/>
  <c r="Q289" i="9"/>
  <c r="K289" i="9"/>
  <c r="Q288" i="9"/>
  <c r="K286" i="9"/>
  <c r="K296" i="9" s="1"/>
  <c r="K305" i="9" s="1"/>
  <c r="G286" i="9"/>
  <c r="G296" i="9" s="1"/>
  <c r="G305" i="9" s="1"/>
  <c r="O283" i="9"/>
  <c r="Q293" i="9" s="1"/>
  <c r="Q274" i="9"/>
  <c r="Q279" i="9" s="1"/>
  <c r="P274" i="9"/>
  <c r="P279" i="9" s="1"/>
  <c r="AN66" i="9"/>
  <c r="AM66" i="9"/>
  <c r="AL66" i="9"/>
  <c r="AC66" i="9"/>
  <c r="AB66" i="9"/>
  <c r="AA66" i="9"/>
  <c r="Z66" i="9"/>
  <c r="Y66" i="9"/>
  <c r="AN65" i="9"/>
  <c r="AM65" i="9"/>
  <c r="AL65" i="9"/>
  <c r="AC65" i="9"/>
  <c r="AB65" i="9"/>
  <c r="AA65" i="9"/>
  <c r="Z65" i="9"/>
  <c r="Y65" i="9"/>
  <c r="AN64" i="9"/>
  <c r="AM64" i="9"/>
  <c r="AL64" i="9"/>
  <c r="AC64" i="9"/>
  <c r="AB64" i="9"/>
  <c r="AA64" i="9"/>
  <c r="Z64" i="9"/>
  <c r="Y64" i="9"/>
  <c r="AN63" i="9"/>
  <c r="AM63" i="9"/>
  <c r="AL63" i="9"/>
  <c r="AC63" i="9"/>
  <c r="AB63" i="9"/>
  <c r="AA63" i="9"/>
  <c r="Z63" i="9"/>
  <c r="Y63" i="9"/>
  <c r="AN62" i="9"/>
  <c r="AM62" i="9"/>
  <c r="AL62" i="9"/>
  <c r="AC62" i="9"/>
  <c r="AB62" i="9"/>
  <c r="AA62" i="9"/>
  <c r="Z62" i="9"/>
  <c r="Y62" i="9"/>
  <c r="AN61" i="9"/>
  <c r="AM61" i="9"/>
  <c r="AL61" i="9"/>
  <c r="AC61" i="9"/>
  <c r="AB61" i="9"/>
  <c r="AA61" i="9"/>
  <c r="Z61" i="9"/>
  <c r="Y61" i="9"/>
  <c r="AN60" i="9"/>
  <c r="AM60" i="9"/>
  <c r="AL60" i="9"/>
  <c r="AC60" i="9"/>
  <c r="AB60" i="9"/>
  <c r="AA60" i="9"/>
  <c r="Z60" i="9"/>
  <c r="Y60" i="9"/>
  <c r="AN59" i="9"/>
  <c r="AM59" i="9"/>
  <c r="AL59" i="9"/>
  <c r="AC59" i="9"/>
  <c r="AB59" i="9"/>
  <c r="AA59" i="9"/>
  <c r="Z59" i="9"/>
  <c r="Y59" i="9"/>
  <c r="AN58" i="9"/>
  <c r="AM58" i="9"/>
  <c r="AL58" i="9"/>
  <c r="AC58" i="9"/>
  <c r="AB58" i="9"/>
  <c r="AA58" i="9"/>
  <c r="Z58" i="9"/>
  <c r="Y58" i="9"/>
  <c r="AN57" i="9"/>
  <c r="AM57" i="9"/>
  <c r="AL57" i="9"/>
  <c r="AC57" i="9"/>
  <c r="AB57" i="9"/>
  <c r="AA57" i="9"/>
  <c r="Z57" i="9"/>
  <c r="Y57" i="9"/>
  <c r="AN24" i="9"/>
  <c r="AM24" i="9"/>
  <c r="AL24" i="9"/>
  <c r="Y24" i="9"/>
  <c r="AN23" i="9"/>
  <c r="AM23" i="9"/>
  <c r="AL23" i="9"/>
  <c r="Y23" i="9"/>
  <c r="AN22" i="9"/>
  <c r="AM22" i="9"/>
  <c r="AL22" i="9"/>
  <c r="Y22" i="9"/>
  <c r="AN21" i="9"/>
  <c r="AM21" i="9"/>
  <c r="AL21" i="9"/>
  <c r="Y21" i="9"/>
  <c r="AN20" i="9"/>
  <c r="AM20" i="9"/>
  <c r="AL20" i="9"/>
  <c r="Y20" i="9"/>
  <c r="AN19" i="9"/>
  <c r="AM19" i="9"/>
  <c r="AL19" i="9"/>
  <c r="Y19" i="9"/>
  <c r="AN18" i="9"/>
  <c r="AM18" i="9"/>
  <c r="AL18" i="9"/>
  <c r="Y18" i="9"/>
  <c r="AN17" i="9"/>
  <c r="AM17" i="9"/>
  <c r="AL17" i="9"/>
  <c r="Y17" i="9"/>
  <c r="AN16" i="9"/>
  <c r="AM16" i="9"/>
  <c r="AL16" i="9"/>
  <c r="Y16" i="9"/>
  <c r="AN15" i="9"/>
  <c r="AM15" i="9"/>
  <c r="AL15" i="9"/>
  <c r="Y15" i="9"/>
  <c r="AN14" i="9"/>
  <c r="AM14" i="9"/>
  <c r="AL14" i="9"/>
  <c r="Y14" i="9"/>
  <c r="AN13" i="9"/>
  <c r="AM13" i="9"/>
  <c r="AL13" i="9"/>
  <c r="Y13" i="9"/>
  <c r="AN12" i="9"/>
  <c r="AM12" i="9"/>
  <c r="AL12" i="9"/>
  <c r="Y12" i="9"/>
  <c r="AN11" i="9"/>
  <c r="AM11" i="9"/>
  <c r="AL11" i="9"/>
  <c r="Y11" i="9"/>
  <c r="AN10" i="9"/>
  <c r="AM10" i="9"/>
  <c r="AL10" i="9"/>
  <c r="Y10" i="9"/>
  <c r="AN9" i="9"/>
  <c r="AM9" i="9"/>
  <c r="AL9" i="9"/>
  <c r="Y9" i="9"/>
  <c r="AN8" i="9"/>
  <c r="AM8" i="9"/>
  <c r="AL8" i="9"/>
  <c r="Y8" i="9"/>
  <c r="AN7" i="9"/>
  <c r="AM7" i="9"/>
  <c r="AL7" i="9"/>
  <c r="Y7" i="9"/>
  <c r="AN6" i="9"/>
  <c r="AM6" i="9"/>
  <c r="AL6" i="9"/>
  <c r="Y6" i="9"/>
  <c r="AN5" i="9"/>
  <c r="AM5" i="9"/>
  <c r="AL5" i="9"/>
  <c r="Y5" i="9"/>
  <c r="C89" i="9"/>
  <c r="C90" i="9" s="1"/>
  <c r="C91" i="9" s="1"/>
  <c r="C92" i="9" s="1"/>
  <c r="C93" i="9" s="1"/>
  <c r="C94" i="9" s="1"/>
  <c r="C95" i="9" s="1"/>
  <c r="C96" i="9" s="1"/>
  <c r="C97" i="9" s="1"/>
  <c r="C98" i="9" s="1"/>
  <c r="C99" i="9" s="1"/>
  <c r="C100" i="9" s="1"/>
  <c r="C101" i="9" s="1"/>
  <c r="C102" i="9" s="1"/>
  <c r="C103" i="9" s="1"/>
  <c r="C104" i="9" s="1"/>
  <c r="C105" i="9" s="1"/>
  <c r="C106" i="9" s="1"/>
  <c r="C107" i="9" s="1"/>
  <c r="C108" i="9" s="1"/>
  <c r="C109" i="9" s="1"/>
  <c r="C110" i="9" s="1"/>
  <c r="C111" i="9" s="1"/>
  <c r="C112" i="9" s="1"/>
  <c r="C113" i="9" s="1"/>
  <c r="C114" i="9" s="1"/>
  <c r="C115" i="9" s="1"/>
  <c r="C116" i="9" s="1"/>
  <c r="C117" i="9" s="1"/>
  <c r="C118" i="9" s="1"/>
  <c r="C119" i="9" s="1"/>
  <c r="C120" i="9" s="1"/>
  <c r="C121" i="9" s="1"/>
  <c r="C122" i="9" s="1"/>
  <c r="C123" i="9" s="1"/>
  <c r="C124" i="9" s="1"/>
  <c r="C125" i="9" s="1"/>
  <c r="C126" i="9" s="1"/>
  <c r="C127" i="9" s="1"/>
  <c r="C128" i="9" s="1"/>
  <c r="C129" i="9" s="1"/>
  <c r="C130" i="9" s="1"/>
  <c r="C131" i="9" s="1"/>
  <c r="C132" i="9" s="1"/>
  <c r="C133" i="9" s="1"/>
  <c r="C134" i="9" s="1"/>
  <c r="C135" i="9" s="1"/>
  <c r="C136" i="9" s="1"/>
  <c r="C137" i="9" s="1"/>
  <c r="C138" i="9" s="1"/>
  <c r="C139" i="9" s="1"/>
  <c r="C140" i="9" s="1"/>
  <c r="C141" i="9" s="1"/>
  <c r="C142" i="9" s="1"/>
  <c r="C143" i="9" s="1"/>
  <c r="C144" i="9" s="1"/>
  <c r="C145" i="9" s="1"/>
  <c r="C146" i="9" s="1"/>
  <c r="C147" i="9" s="1"/>
  <c r="C148" i="9" s="1"/>
  <c r="C149" i="9" s="1"/>
  <c r="C150" i="9" s="1"/>
  <c r="C151" i="9" s="1"/>
  <c r="C152" i="9" s="1"/>
  <c r="C153" i="9" s="1"/>
  <c r="C154" i="9" s="1"/>
  <c r="C155" i="9" s="1"/>
  <c r="C156" i="9" s="1"/>
  <c r="C157" i="9" s="1"/>
  <c r="C158" i="9" s="1"/>
  <c r="C159" i="9" s="1"/>
  <c r="C160" i="9" s="1"/>
  <c r="C161" i="9" s="1"/>
  <c r="C162" i="9" s="1"/>
  <c r="C163" i="9" s="1"/>
  <c r="C164" i="9" s="1"/>
  <c r="C165" i="9" s="1"/>
  <c r="C166" i="9" s="1"/>
  <c r="C167" i="9" s="1"/>
  <c r="C168" i="9" s="1"/>
  <c r="C169" i="9" s="1"/>
  <c r="C170" i="9" s="1"/>
  <c r="C171" i="9" s="1"/>
  <c r="C172" i="9" s="1"/>
  <c r="C173" i="9" s="1"/>
  <c r="C174" i="9" s="1"/>
  <c r="C175" i="9" s="1"/>
  <c r="C176" i="9" s="1"/>
  <c r="C177" i="9" s="1"/>
  <c r="C178" i="9" s="1"/>
  <c r="C179" i="9" s="1"/>
  <c r="C180" i="9" s="1"/>
  <c r="C181" i="9" s="1"/>
  <c r="C182" i="9" s="1"/>
  <c r="C183" i="9" s="1"/>
  <c r="C184" i="9" s="1"/>
  <c r="C185" i="9" s="1"/>
  <c r="C186" i="9" s="1"/>
  <c r="C187" i="9" s="1"/>
  <c r="C188" i="9" s="1"/>
  <c r="C189" i="9" s="1"/>
  <c r="C190" i="9" s="1"/>
  <c r="C191" i="9" s="1"/>
  <c r="C192" i="9" s="1"/>
  <c r="C193" i="9" s="1"/>
  <c r="C194" i="9" s="1"/>
  <c r="C195" i="9" s="1"/>
  <c r="C196" i="9" s="1"/>
  <c r="C197" i="9" s="1"/>
  <c r="C198" i="9" s="1"/>
  <c r="C199" i="9" s="1"/>
  <c r="C200" i="9" s="1"/>
  <c r="C201" i="9" s="1"/>
  <c r="C202" i="9" s="1"/>
  <c r="C203" i="9" s="1"/>
  <c r="C204" i="9" s="1"/>
  <c r="C205" i="9" s="1"/>
  <c r="C206" i="9" s="1"/>
  <c r="C207" i="9" s="1"/>
  <c r="C208" i="9" s="1"/>
  <c r="O36" i="9"/>
  <c r="O34" i="9"/>
  <c r="BH5" i="9"/>
  <c r="N283" i="9" l="1"/>
  <c r="P290" i="9" s="1"/>
  <c r="P293" i="9" s="1"/>
  <c r="M323" i="9" s="1"/>
  <c r="N323" i="9"/>
  <c r="Q302" i="9"/>
  <c r="Q313" i="9" s="1"/>
  <c r="Q290" i="9"/>
  <c r="Q298" i="9" s="1"/>
  <c r="Q299" i="9" s="1"/>
  <c r="Q307" i="9" s="1"/>
  <c r="X66" i="1"/>
  <c r="W57" i="1"/>
  <c r="X57" i="1"/>
  <c r="W58" i="1"/>
  <c r="X58" i="1"/>
  <c r="W59" i="1"/>
  <c r="X59" i="1"/>
  <c r="W60" i="1"/>
  <c r="X60" i="1"/>
  <c r="W61" i="1"/>
  <c r="X61" i="1"/>
  <c r="W62" i="1"/>
  <c r="X62" i="1"/>
  <c r="W63" i="1"/>
  <c r="X63" i="1"/>
  <c r="W64" i="1"/>
  <c r="X64" i="1"/>
  <c r="W65" i="1"/>
  <c r="X65" i="1"/>
  <c r="W66" i="1"/>
  <c r="V66" i="1"/>
  <c r="V65" i="1"/>
  <c r="V64" i="1"/>
  <c r="V63" i="1"/>
  <c r="V62" i="1"/>
  <c r="V61" i="1"/>
  <c r="V60" i="1"/>
  <c r="V59" i="1"/>
  <c r="V57" i="1"/>
  <c r="R57" i="1"/>
  <c r="S57" i="1"/>
  <c r="T57" i="1"/>
  <c r="U57" i="1"/>
  <c r="R58" i="1"/>
  <c r="S58" i="1"/>
  <c r="T58" i="1"/>
  <c r="U58" i="1"/>
  <c r="R59" i="1"/>
  <c r="S59" i="1"/>
  <c r="T59" i="1"/>
  <c r="U59" i="1"/>
  <c r="R60" i="1"/>
  <c r="S60" i="1"/>
  <c r="T60" i="1"/>
  <c r="U60" i="1"/>
  <c r="R61" i="1"/>
  <c r="S61" i="1"/>
  <c r="U61" i="1"/>
  <c r="R62" i="1"/>
  <c r="S62" i="1"/>
  <c r="T62" i="1"/>
  <c r="U62" i="1"/>
  <c r="R63" i="1"/>
  <c r="S63" i="1"/>
  <c r="T63" i="1"/>
  <c r="U63" i="1"/>
  <c r="R64" i="1"/>
  <c r="S64" i="1"/>
  <c r="T64" i="1"/>
  <c r="U64" i="1"/>
  <c r="R65" i="1"/>
  <c r="S65" i="1"/>
  <c r="T65" i="1"/>
  <c r="U65" i="1"/>
  <c r="R66" i="1"/>
  <c r="S66" i="1"/>
  <c r="T66" i="1"/>
  <c r="U66" i="1"/>
  <c r="Q66" i="1"/>
  <c r="Q65" i="1"/>
  <c r="Q64" i="1"/>
  <c r="Q63" i="1"/>
  <c r="Q62" i="1"/>
  <c r="Q61" i="1"/>
  <c r="Q60" i="1"/>
  <c r="W5" i="1"/>
  <c r="X5" i="1"/>
  <c r="W6" i="1"/>
  <c r="X6" i="1"/>
  <c r="W7" i="1"/>
  <c r="X7" i="1"/>
  <c r="W8" i="1"/>
  <c r="X8" i="1"/>
  <c r="W9" i="1"/>
  <c r="X9" i="1"/>
  <c r="W10" i="1"/>
  <c r="X10" i="1"/>
  <c r="W11" i="1"/>
  <c r="X11" i="1"/>
  <c r="W12" i="1"/>
  <c r="X12" i="1"/>
  <c r="W13" i="1"/>
  <c r="X13" i="1"/>
  <c r="W14" i="1"/>
  <c r="X14" i="1"/>
  <c r="W15" i="1"/>
  <c r="X15" i="1"/>
  <c r="W16" i="1"/>
  <c r="X16" i="1"/>
  <c r="W17" i="1"/>
  <c r="X17" i="1"/>
  <c r="W18" i="1"/>
  <c r="X18" i="1"/>
  <c r="W19" i="1"/>
  <c r="X19" i="1"/>
  <c r="W20" i="1"/>
  <c r="X20" i="1"/>
  <c r="W21" i="1"/>
  <c r="X21" i="1"/>
  <c r="W22" i="1"/>
  <c r="X22" i="1"/>
  <c r="W23" i="1"/>
  <c r="X23" i="1"/>
  <c r="W24" i="1"/>
  <c r="X24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R5" i="1"/>
  <c r="S5" i="1"/>
  <c r="T5" i="1"/>
  <c r="U5" i="1"/>
  <c r="R6" i="1"/>
  <c r="S6" i="1"/>
  <c r="T6" i="1"/>
  <c r="U6" i="1"/>
  <c r="R7" i="1"/>
  <c r="S7" i="1"/>
  <c r="T7" i="1"/>
  <c r="U7" i="1"/>
  <c r="R8" i="1"/>
  <c r="S8" i="1"/>
  <c r="T8" i="1"/>
  <c r="U8" i="1"/>
  <c r="R9" i="1"/>
  <c r="S9" i="1"/>
  <c r="T9" i="1"/>
  <c r="U9" i="1"/>
  <c r="R10" i="1"/>
  <c r="S10" i="1"/>
  <c r="T10" i="1"/>
  <c r="U10" i="1"/>
  <c r="R11" i="1"/>
  <c r="S11" i="1"/>
  <c r="T11" i="1"/>
  <c r="U11" i="1"/>
  <c r="R12" i="1"/>
  <c r="S12" i="1"/>
  <c r="T12" i="1"/>
  <c r="U12" i="1"/>
  <c r="R13" i="1"/>
  <c r="S13" i="1"/>
  <c r="T13" i="1"/>
  <c r="U13" i="1"/>
  <c r="R14" i="1"/>
  <c r="S14" i="1"/>
  <c r="T14" i="1"/>
  <c r="U14" i="1"/>
  <c r="R15" i="1"/>
  <c r="S15" i="1"/>
  <c r="T15" i="1"/>
  <c r="U15" i="1"/>
  <c r="R16" i="1"/>
  <c r="S16" i="1"/>
  <c r="T16" i="1"/>
  <c r="U16" i="1"/>
  <c r="R17" i="1"/>
  <c r="S17" i="1"/>
  <c r="T17" i="1"/>
  <c r="U17" i="1"/>
  <c r="R18" i="1"/>
  <c r="S18" i="1"/>
  <c r="T18" i="1"/>
  <c r="U18" i="1"/>
  <c r="R19" i="1"/>
  <c r="S19" i="1"/>
  <c r="T19" i="1"/>
  <c r="U19" i="1"/>
  <c r="R20" i="1"/>
  <c r="S20" i="1"/>
  <c r="T20" i="1"/>
  <c r="U20" i="1"/>
  <c r="R21" i="1"/>
  <c r="S21" i="1"/>
  <c r="T21" i="1"/>
  <c r="U21" i="1"/>
  <c r="R22" i="1"/>
  <c r="S22" i="1"/>
  <c r="T22" i="1"/>
  <c r="U22" i="1"/>
  <c r="R23" i="1"/>
  <c r="S23" i="1"/>
  <c r="T23" i="1"/>
  <c r="U23" i="1"/>
  <c r="R24" i="1"/>
  <c r="S24" i="1"/>
  <c r="T24" i="1"/>
  <c r="U24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7" i="1"/>
  <c r="Q6" i="1"/>
  <c r="Q59" i="1"/>
  <c r="Q58" i="1"/>
  <c r="V10" i="1"/>
  <c r="V9" i="1"/>
  <c r="V8" i="1"/>
  <c r="V7" i="1"/>
  <c r="V6" i="1"/>
  <c r="V5" i="1"/>
  <c r="Q10" i="1"/>
  <c r="Q9" i="1"/>
  <c r="Q8" i="1"/>
  <c r="Q5" i="1"/>
  <c r="P298" i="9" l="1"/>
  <c r="P302" i="9" s="1"/>
  <c r="P307" i="9" l="1"/>
  <c r="P313" i="9" s="1"/>
  <c r="C89" i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V58" i="1"/>
  <c r="Q57" i="1"/>
  <c r="C114" i="1" l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AL5" i="1" l="1"/>
  <c r="H250" i="1"/>
  <c r="H246" i="1"/>
  <c r="H247" i="1"/>
  <c r="H248" i="1"/>
  <c r="H249" i="1"/>
  <c r="H245" i="1" l="1"/>
  <c r="L299" i="1" l="1"/>
  <c r="G286" i="1" l="1"/>
  <c r="G296" i="1" s="1"/>
  <c r="G305" i="1" s="1"/>
  <c r="C286" i="1"/>
  <c r="C296" i="1" s="1"/>
  <c r="C305" i="1" s="1"/>
  <c r="H244" i="1"/>
  <c r="H243" i="1"/>
  <c r="H242" i="1"/>
  <c r="H241" i="1"/>
  <c r="H240" i="1"/>
  <c r="H239" i="1"/>
  <c r="H238" i="1"/>
  <c r="H237" i="1"/>
  <c r="H236" i="1"/>
  <c r="L289" i="1"/>
  <c r="K34" i="1" l="1"/>
  <c r="K36" i="1"/>
  <c r="M289" i="1" l="1"/>
  <c r="G289" i="1"/>
  <c r="M288" i="1"/>
  <c r="K283" i="1" l="1"/>
  <c r="M274" i="1"/>
  <c r="M279" i="1" s="1"/>
  <c r="M271" i="1"/>
  <c r="M290" i="1" l="1"/>
  <c r="M298" i="1" s="1"/>
  <c r="M299" i="1" s="1"/>
  <c r="M307" i="1" s="1"/>
  <c r="M293" i="1"/>
  <c r="J323" i="1" l="1"/>
  <c r="M302" i="1"/>
  <c r="M313" i="1" s="1"/>
  <c r="L274" i="1" l="1"/>
  <c r="J283" i="1" s="1"/>
  <c r="L290" i="1" s="1"/>
  <c r="L293" i="1" s="1"/>
  <c r="L298" i="1" s="1"/>
  <c r="I323" i="1" l="1"/>
  <c r="L279" i="1"/>
  <c r="L302" i="1" l="1"/>
  <c r="L307" i="1"/>
  <c r="L313" i="1" s="1"/>
</calcChain>
</file>

<file path=xl/sharedStrings.xml><?xml version="1.0" encoding="utf-8"?>
<sst xmlns="http://schemas.openxmlformats.org/spreadsheetml/2006/main" count="367" uniqueCount="147">
  <si>
    <t>Temp. Ambiente</t>
  </si>
  <si>
    <t>TEMPO</t>
  </si>
  <si>
    <t>Pontos de medição no reator</t>
  </si>
  <si>
    <t>P1</t>
  </si>
  <si>
    <t>P2</t>
  </si>
  <si>
    <t>P3</t>
  </si>
  <si>
    <t>P4</t>
  </si>
  <si>
    <t>P5</t>
  </si>
  <si>
    <t>A1</t>
  </si>
  <si>
    <t>A2</t>
  </si>
  <si>
    <t>A3</t>
  </si>
  <si>
    <t>Estabilização</t>
  </si>
  <si>
    <t>0-60</t>
  </si>
  <si>
    <t>60-120</t>
  </si>
  <si>
    <t>120-180</t>
  </si>
  <si>
    <t>TPM</t>
  </si>
  <si>
    <t>RCC</t>
  </si>
  <si>
    <t>Rcc Vs. Tempo desligamento</t>
  </si>
  <si>
    <t xml:space="preserve">  </t>
  </si>
  <si>
    <t>Cliente:</t>
  </si>
  <si>
    <t>Referência:</t>
  </si>
  <si>
    <t>Aplicação:</t>
  </si>
  <si>
    <t>Montagem:</t>
  </si>
  <si>
    <t>Quantidade:</t>
  </si>
  <si>
    <t>Tipo:</t>
  </si>
  <si>
    <t>Norma:</t>
  </si>
  <si>
    <t>Nº do Relatório:</t>
  </si>
  <si>
    <t>Dados do Reator</t>
  </si>
  <si>
    <t>Indutância:</t>
  </si>
  <si>
    <t>mH</t>
  </si>
  <si>
    <t>Impedância:</t>
  </si>
  <si>
    <t>Ω</t>
  </si>
  <si>
    <t>Corrente Nominal:</t>
  </si>
  <si>
    <t>A</t>
  </si>
  <si>
    <t>Perdas a 75°C - In:</t>
  </si>
  <si>
    <t>kW</t>
  </si>
  <si>
    <t>Tensão Nominal:</t>
  </si>
  <si>
    <t>kV</t>
  </si>
  <si>
    <t>NBI:</t>
  </si>
  <si>
    <t>kVp</t>
  </si>
  <si>
    <t>Frequência Nominal:</t>
  </si>
  <si>
    <t>Hz</t>
  </si>
  <si>
    <t>Corrente de Curto Circuito:</t>
  </si>
  <si>
    <t>kA / 1s</t>
  </si>
  <si>
    <t>Corrente de C.C Dinâmica:</t>
  </si>
  <si>
    <t>kAp</t>
  </si>
  <si>
    <t>Ano de Fabricação</t>
  </si>
  <si>
    <t>Medição de resistência Ôhmica a frio.</t>
  </si>
  <si>
    <t>Posição dos Sensores de Temperatura no corpo do Reator</t>
  </si>
  <si>
    <t>Sensor</t>
  </si>
  <si>
    <t>Posição</t>
  </si>
  <si>
    <t>Medição da resistência DC após desligamento</t>
  </si>
  <si>
    <t>Determinação da temperatura média do enrolamento pelo método da resistência</t>
  </si>
  <si>
    <t>Relatório de ensaio de elevação de temperatura</t>
  </si>
  <si>
    <t>Estabilização em período de uma hora</t>
  </si>
  <si>
    <t>Gráfico da variação de Temperatura no tempo</t>
  </si>
  <si>
    <t>Constante do Alumínio (225)</t>
  </si>
  <si>
    <t>Descrição do Ensaio</t>
  </si>
  <si>
    <t>Nº de série do reator ensaiado:</t>
  </si>
  <si>
    <t>Formula</t>
  </si>
  <si>
    <t>Resistencia a Frio - R1</t>
  </si>
  <si>
    <t>mΩ</t>
  </si>
  <si>
    <t xml:space="preserve"> °C</t>
  </si>
  <si>
    <t>Calculo da elevação de temperatura média</t>
  </si>
  <si>
    <t>Temperatura ambiente inicial - T1</t>
  </si>
  <si>
    <t xml:space="preserve">Variação de Temperatura Reator - DT  = </t>
  </si>
  <si>
    <t>Temperatura média do enrolamento - Tr</t>
  </si>
  <si>
    <t>Temp. Amb.  no desligamento - T2</t>
  </si>
  <si>
    <t>Variação de Temperatura Reator - DT</t>
  </si>
  <si>
    <t>Temperatura média do enrolamento no instante do desligamento</t>
  </si>
  <si>
    <t>Resultado final</t>
  </si>
  <si>
    <t>Classe de temperatura</t>
  </si>
  <si>
    <t>Valor Garantido</t>
  </si>
  <si>
    <t>Responsável pelos ensaios</t>
  </si>
  <si>
    <t>Data dos Ensaios:</t>
  </si>
  <si>
    <t>Limitador de Inrush</t>
  </si>
  <si>
    <t>NBR-5356-06</t>
  </si>
  <si>
    <t>Lado-a-lado ou triângulo</t>
  </si>
  <si>
    <t>Variáveis</t>
  </si>
  <si>
    <t>Temperatura Amb. referência - Tref</t>
  </si>
  <si>
    <t>Temperatura Ambiente inicial - T1</t>
  </si>
  <si>
    <t>Valores de Temperatura medidos e gráfico da estabilização da temperatura</t>
  </si>
  <si>
    <t>Pontos de aquisição de Temperatura no reator</t>
  </si>
  <si>
    <t>Resistencia medida a Frio - R1</t>
  </si>
  <si>
    <t>Correção da temperatura média final para temperatura ambiente de referência</t>
  </si>
  <si>
    <t>Temperatura média final.</t>
  </si>
  <si>
    <t>Temperatura média final do Reator corrigida para temperatura ambiente de referência - TMF =</t>
  </si>
  <si>
    <t>Elevação de temperatura média final para temperatura ambiente de referência</t>
  </si>
  <si>
    <t>Temperatura Media Final - TMF</t>
  </si>
  <si>
    <t>Elevação de temperatura média final para temperatura ambiente de referência - DTref =</t>
  </si>
  <si>
    <t>Rua Prefeito Domingos Mocelin Neto, 155 - CEP 83420-000 | Quatro Barras | PR | BRA
Tel: +55 41 3167-4000</t>
  </si>
  <si>
    <t>Variação de resistência Resfriamento (R x t):</t>
  </si>
  <si>
    <t xml:space="preserve">Temperatura média do enrolamento, referenciada a temperatura ambiente - Tr = </t>
  </si>
  <si>
    <t>Inspetor do Cliente:</t>
  </si>
  <si>
    <t>Fotos do ensaio</t>
  </si>
  <si>
    <t>F = 155 °C</t>
  </si>
  <si>
    <t>Corrente de curto-circuito - Icc</t>
  </si>
  <si>
    <t xml:space="preserve"> kA</t>
  </si>
  <si>
    <t>mm²</t>
  </si>
  <si>
    <t>Secção do Enrolamento - S</t>
  </si>
  <si>
    <t>Duração do Curto-circuito - t</t>
  </si>
  <si>
    <r>
      <t xml:space="preserve">Calculo da temperatura media final atingida após o curto-circuito - </t>
    </r>
    <r>
      <rPr>
        <sz val="11"/>
        <color theme="1"/>
        <rFont val="Calibri"/>
        <family val="2"/>
      </rPr>
      <t>Ɵ</t>
    </r>
    <r>
      <rPr>
        <sz val="11"/>
        <color theme="1"/>
        <rFont val="Arial"/>
        <family val="2"/>
      </rPr>
      <t xml:space="preserve"> =</t>
    </r>
  </si>
  <si>
    <t>s</t>
  </si>
  <si>
    <t>46556-103</t>
  </si>
  <si>
    <t>Resistencia apatir da curva R x t - R2</t>
  </si>
  <si>
    <r>
      <t xml:space="preserve">Cálculo da temperatura média final atingida após o curto-circuito </t>
    </r>
    <r>
      <rPr>
        <b/>
        <sz val="11"/>
        <color theme="0"/>
        <rFont val="Calibri"/>
        <family val="2"/>
      </rPr>
      <t>Ɵ</t>
    </r>
  </si>
  <si>
    <t>0-30</t>
  </si>
  <si>
    <t>30-60</t>
  </si>
  <si>
    <t>60-90</t>
  </si>
  <si>
    <t>150-180</t>
  </si>
  <si>
    <t>90-120</t>
  </si>
  <si>
    <t>120-150</t>
  </si>
  <si>
    <t>Estabilização em período de 30 minutos</t>
  </si>
  <si>
    <t>Nº de Série:</t>
  </si>
  <si>
    <t>180-210</t>
  </si>
  <si>
    <t>210-240</t>
  </si>
  <si>
    <t>240-270</t>
  </si>
  <si>
    <t>270-300</t>
  </si>
  <si>
    <t>300-330</t>
  </si>
  <si>
    <t>330-360</t>
  </si>
  <si>
    <t>360-390</t>
  </si>
  <si>
    <t>390-420</t>
  </si>
  <si>
    <t>420-450</t>
  </si>
  <si>
    <t>450-480</t>
  </si>
  <si>
    <t>480-510</t>
  </si>
  <si>
    <t>510-540</t>
  </si>
  <si>
    <t>540-570</t>
  </si>
  <si>
    <t>570-600</t>
  </si>
  <si>
    <t>180-240</t>
  </si>
  <si>
    <t>240-300</t>
  </si>
  <si>
    <t>300-360</t>
  </si>
  <si>
    <t>360-420</t>
  </si>
  <si>
    <t>420-480</t>
  </si>
  <si>
    <t>480-540</t>
  </si>
  <si>
    <t>540-600</t>
  </si>
  <si>
    <t>CEMIG</t>
  </si>
  <si>
    <t>RI-0,075mH/360A</t>
  </si>
  <si>
    <t>P6</t>
  </si>
  <si>
    <t>P7</t>
  </si>
  <si>
    <t>P8</t>
  </si>
  <si>
    <t>P9</t>
  </si>
  <si>
    <t>P10</t>
  </si>
  <si>
    <t>P11</t>
  </si>
  <si>
    <t>P12</t>
  </si>
  <si>
    <t>P13</t>
  </si>
  <si>
    <r>
      <t xml:space="preserve">Cálculo da temperatura média final atingida após o curto-circuito </t>
    </r>
    <r>
      <rPr>
        <b/>
        <sz val="14"/>
        <color theme="0"/>
        <rFont val="Calibri"/>
        <family val="2"/>
      </rPr>
      <t>Ɵ</t>
    </r>
  </si>
  <si>
    <r>
      <t xml:space="preserve">Calculo da temperatura media final atingida após o curto-circuito - </t>
    </r>
    <r>
      <rPr>
        <sz val="14"/>
        <color theme="1"/>
        <rFont val="Calibri"/>
        <family val="2"/>
      </rPr>
      <t>Ɵ</t>
    </r>
    <r>
      <rPr>
        <sz val="14"/>
        <color theme="1"/>
        <rFont val="Arial"/>
        <family val="2"/>
      </rPr>
      <t xml:space="preserve"> =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</si>
</sst>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0.000"/>
  </numFmts>
  <fonts count="5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Times New Roman"/>
      <family val="1"/>
    </font>
    <font>
      <sz val="10"/>
      <name val="Times New Roman"/>
      <family val="1"/>
    </font>
    <font>
      <sz val="10"/>
      <name val="FuturaA Bk BT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0"/>
      <name val="Arial"/>
      <family val="2"/>
    </font>
    <font>
      <b/>
      <sz val="20"/>
      <color theme="0"/>
      <name val="Arial"/>
      <family val="2"/>
    </font>
    <font>
      <sz val="11"/>
      <color rgb="FF002060"/>
      <name val="Arial"/>
      <family val="2"/>
    </font>
    <font>
      <b/>
      <sz val="12"/>
      <color rgb="FF002060"/>
      <name val="Arial"/>
      <family val="2"/>
    </font>
    <font>
      <sz val="11"/>
      <color rgb="FF004976"/>
      <name val="Arial"/>
      <family val="2"/>
    </font>
    <font>
      <sz val="11"/>
      <color rgb="FF004976"/>
      <name val="Calibri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sz val="10"/>
      <color rgb="FF002060"/>
      <name val="Arial"/>
      <family val="2"/>
    </font>
    <font>
      <b/>
      <sz val="11"/>
      <color theme="0"/>
      <name val="Arial"/>
      <family val="2"/>
    </font>
    <font>
      <sz val="18"/>
      <color theme="1"/>
      <name val="Calibri"/>
      <family val="2"/>
      <scheme val="minor"/>
    </font>
    <font>
      <sz val="10"/>
      <name val="Times New Roman"/>
      <family val="1"/>
    </font>
    <font>
      <b/>
      <sz val="10"/>
      <color rgb="FF002060"/>
      <name val="Arial"/>
      <family val="2"/>
    </font>
    <font>
      <b/>
      <sz val="11"/>
      <color rgb="FF002060"/>
      <name val="Calibri"/>
      <family val="2"/>
      <scheme val="minor"/>
    </font>
    <font>
      <sz val="12"/>
      <color theme="1"/>
      <name val="Arial"/>
      <family val="2"/>
    </font>
    <font>
      <sz val="11"/>
      <color rgb="FF002060"/>
      <name val="Calibri"/>
      <family val="2"/>
      <scheme val="minor"/>
    </font>
    <font>
      <sz val="11"/>
      <color rgb="FFFF0000"/>
      <name val="Arial"/>
      <family val="2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name val="Arial"/>
      <family val="2"/>
    </font>
    <font>
      <sz val="10"/>
      <name val="Arial"/>
      <family val="2"/>
    </font>
    <font>
      <sz val="14"/>
      <color rgb="FF004976"/>
      <name val="Arial"/>
      <family val="2"/>
    </font>
    <font>
      <sz val="14"/>
      <color theme="1"/>
      <name val="Arial"/>
      <family val="2"/>
    </font>
    <font>
      <sz val="14"/>
      <color rgb="FF004976"/>
      <name val="Calibri"/>
      <family val="2"/>
    </font>
    <font>
      <sz val="14"/>
      <color rgb="FF002060"/>
      <name val="Arial"/>
      <family val="2"/>
    </font>
    <font>
      <sz val="14"/>
      <color rgb="FF002060"/>
      <name val="Calibri"/>
      <family val="2"/>
      <scheme val="minor"/>
    </font>
    <font>
      <b/>
      <sz val="14"/>
      <name val="Arial"/>
      <family val="2"/>
    </font>
    <font>
      <sz val="14"/>
      <color theme="1"/>
      <name val="Calibri"/>
      <family val="2"/>
      <scheme val="minor"/>
    </font>
    <font>
      <sz val="14"/>
      <name val="Arial"/>
      <family val="2"/>
    </font>
    <font>
      <b/>
      <sz val="14"/>
      <color rgb="FF002060"/>
      <name val="Arial"/>
      <family val="2"/>
    </font>
    <font>
      <sz val="14"/>
      <color theme="0"/>
      <name val="Arial"/>
      <family val="2"/>
    </font>
    <font>
      <b/>
      <sz val="14"/>
      <color theme="0"/>
      <name val="Arial"/>
      <family val="2"/>
    </font>
    <font>
      <sz val="14"/>
      <name val="FuturaA Bk BT"/>
      <family val="2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</font>
    <font>
      <sz val="14"/>
      <color theme="1"/>
      <name val="Calibri"/>
      <family val="2"/>
    </font>
    <font>
      <sz val="10"/>
      <name val="Arial"/>
      <family val="2"/>
    </font>
    <font>
      <sz val="10"/>
      <color theme="0"/>
      <name val="Arial"/>
      <family val="2"/>
    </font>
    <font>
      <sz val="11"/>
      <color theme="0"/>
      <name val="Calibri"/>
      <family val="2"/>
    </font>
    <font>
      <sz val="10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2" fillId="0" borderId="0"/>
    <xf numFmtId="0" fontId="5" fillId="0" borderId="0"/>
    <xf numFmtId="0" fontId="3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22" fillId="0" borderId="0"/>
    <xf numFmtId="0" fontId="2" fillId="0" borderId="0"/>
    <xf numFmtId="0" fontId="32" fillId="0" borderId="0"/>
    <xf numFmtId="0" fontId="49" fillId="0" borderId="0"/>
  </cellStyleXfs>
  <cellXfs count="380">
    <xf numFmtId="0" fontId="0" fillId="0" borderId="0" xfId="0"/>
    <xf numFmtId="0" fontId="15" fillId="3" borderId="0" xfId="0" applyFont="1" applyFill="1" applyAlignment="1">
      <alignment vertical="center"/>
    </xf>
    <xf numFmtId="0" fontId="15" fillId="3" borderId="0" xfId="0" applyFont="1" applyFill="1" applyAlignment="1">
      <alignment horizontal="right" vertical="center"/>
    </xf>
    <xf numFmtId="0" fontId="19" fillId="3" borderId="9" xfId="7" applyFont="1" applyFill="1" applyBorder="1" applyAlignment="1">
      <alignment horizontal="left" vertical="center"/>
    </xf>
    <xf numFmtId="0" fontId="17" fillId="3" borderId="9" xfId="7" applyFont="1" applyFill="1" applyBorder="1" applyAlignment="1">
      <alignment horizontal="right" vertical="center"/>
    </xf>
    <xf numFmtId="0" fontId="19" fillId="3" borderId="2" xfId="7" applyFont="1" applyFill="1" applyBorder="1" applyAlignment="1">
      <alignment horizontal="left" vertical="center"/>
    </xf>
    <xf numFmtId="0" fontId="17" fillId="3" borderId="2" xfId="7" applyFont="1" applyFill="1" applyBorder="1" applyAlignment="1">
      <alignment horizontal="right" vertical="center"/>
    </xf>
    <xf numFmtId="0" fontId="5" fillId="3" borderId="2" xfId="7" applyFill="1" applyBorder="1" applyAlignment="1">
      <alignment vertical="center"/>
    </xf>
    <xf numFmtId="2" fontId="17" fillId="3" borderId="2" xfId="7" applyNumberFormat="1" applyFont="1" applyFill="1" applyBorder="1" applyAlignment="1">
      <alignment horizontal="right" vertical="center"/>
    </xf>
    <xf numFmtId="0" fontId="7" fillId="3" borderId="10" xfId="0" applyFont="1" applyFill="1" applyBorder="1" applyAlignment="1">
      <alignment vertical="center"/>
    </xf>
    <xf numFmtId="0" fontId="18" fillId="3" borderId="2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right" vertical="center"/>
    </xf>
    <xf numFmtId="2" fontId="7" fillId="3" borderId="0" xfId="0" applyNumberFormat="1" applyFont="1" applyFill="1" applyAlignment="1">
      <alignment horizontal="center" vertical="center"/>
    </xf>
    <xf numFmtId="1" fontId="5" fillId="3" borderId="4" xfId="2" applyNumberFormat="1" applyFill="1" applyBorder="1" applyAlignment="1" applyProtection="1">
      <alignment horizontal="center" vertical="center"/>
      <protection locked="0" hidden="1"/>
    </xf>
    <xf numFmtId="49" fontId="6" fillId="4" borderId="4" xfId="2" applyNumberFormat="1" applyFont="1" applyFill="1" applyBorder="1" applyAlignment="1" applyProtection="1">
      <alignment horizontal="center" vertical="center"/>
      <protection locked="0" hidden="1"/>
    </xf>
    <xf numFmtId="0" fontId="12" fillId="4" borderId="0" xfId="7" applyFont="1" applyFill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2" fontId="13" fillId="3" borderId="0" xfId="0" applyNumberFormat="1" applyFont="1" applyFill="1" applyAlignment="1">
      <alignment horizontal="right" vertical="center"/>
    </xf>
    <xf numFmtId="0" fontId="13" fillId="3" borderId="29" xfId="0" applyFont="1" applyFill="1" applyBorder="1" applyAlignment="1">
      <alignment horizontal="left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13" fillId="3" borderId="25" xfId="0" applyFont="1" applyFill="1" applyBorder="1" applyAlignment="1">
      <alignment horizontal="right" vertical="center"/>
    </xf>
    <xf numFmtId="0" fontId="13" fillId="3" borderId="31" xfId="0" applyFont="1" applyFill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0" fontId="13" fillId="3" borderId="25" xfId="0" applyFont="1" applyFill="1" applyBorder="1" applyAlignment="1">
      <alignment horizontal="center" vertical="center"/>
    </xf>
    <xf numFmtId="2" fontId="6" fillId="4" borderId="1" xfId="2" applyNumberFormat="1" applyFont="1" applyFill="1" applyBorder="1" applyAlignment="1" applyProtection="1">
      <alignment horizontal="center" vertical="center"/>
      <protection locked="0" hidden="1"/>
    </xf>
    <xf numFmtId="49" fontId="6" fillId="4" borderId="15" xfId="2" applyNumberFormat="1" applyFont="1" applyFill="1" applyBorder="1" applyAlignment="1" applyProtection="1">
      <alignment horizontal="center" vertical="center"/>
      <protection locked="0" hidden="1"/>
    </xf>
    <xf numFmtId="2" fontId="13" fillId="3" borderId="0" xfId="0" applyNumberFormat="1" applyFont="1" applyFill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2" fontId="7" fillId="3" borderId="25" xfId="0" applyNumberFormat="1" applyFont="1" applyFill="1" applyBorder="1" applyAlignment="1">
      <alignment horizontal="right" vertical="center"/>
    </xf>
    <xf numFmtId="2" fontId="7" fillId="3" borderId="31" xfId="0" applyNumberFormat="1" applyFont="1" applyFill="1" applyBorder="1" applyAlignment="1">
      <alignment horizontal="left" vertical="center"/>
    </xf>
    <xf numFmtId="0" fontId="7" fillId="3" borderId="0" xfId="0" applyFont="1" applyFill="1" applyAlignment="1">
      <alignment vertical="center"/>
    </xf>
    <xf numFmtId="0" fontId="11" fillId="4" borderId="32" xfId="7" applyFont="1" applyFill="1" applyBorder="1"/>
    <xf numFmtId="0" fontId="12" fillId="4" borderId="33" xfId="7" applyFont="1" applyFill="1" applyBorder="1" applyAlignment="1">
      <alignment horizontal="center" vertical="center"/>
    </xf>
    <xf numFmtId="0" fontId="11" fillId="4" borderId="22" xfId="7" applyFont="1" applyFill="1" applyBorder="1"/>
    <xf numFmtId="0" fontId="19" fillId="3" borderId="16" xfId="7" applyFont="1" applyFill="1" applyBorder="1" applyAlignment="1">
      <alignment horizontal="left" vertical="center"/>
    </xf>
    <xf numFmtId="0" fontId="18" fillId="3" borderId="16" xfId="0" applyFont="1" applyFill="1" applyBorder="1" applyAlignment="1">
      <alignment horizontal="left" vertical="center"/>
    </xf>
    <xf numFmtId="0" fontId="7" fillId="3" borderId="20" xfId="0" applyFont="1" applyFill="1" applyBorder="1" applyAlignment="1">
      <alignment vertical="center"/>
    </xf>
    <xf numFmtId="0" fontId="15" fillId="3" borderId="22" xfId="0" applyFont="1" applyFill="1" applyBorder="1" applyAlignment="1">
      <alignment vertical="center"/>
    </xf>
    <xf numFmtId="0" fontId="7" fillId="3" borderId="29" xfId="0" applyFont="1" applyFill="1" applyBorder="1" applyAlignment="1">
      <alignment horizontal="center" vertical="center"/>
    </xf>
    <xf numFmtId="49" fontId="6" fillId="4" borderId="19" xfId="2" applyNumberFormat="1" applyFont="1" applyFill="1" applyBorder="1" applyAlignment="1" applyProtection="1">
      <alignment horizontal="center" vertical="center"/>
      <protection locked="0" hidden="1"/>
    </xf>
    <xf numFmtId="0" fontId="25" fillId="3" borderId="0" xfId="0" applyFont="1" applyFill="1"/>
    <xf numFmtId="0" fontId="25" fillId="3" borderId="22" xfId="0" applyFont="1" applyFill="1" applyBorder="1"/>
    <xf numFmtId="0" fontId="7" fillId="3" borderId="29" xfId="0" applyFont="1" applyFill="1" applyBorder="1" applyAlignment="1">
      <alignment vertical="center"/>
    </xf>
    <xf numFmtId="0" fontId="7" fillId="3" borderId="22" xfId="0" applyFont="1" applyFill="1" applyBorder="1" applyAlignment="1">
      <alignment vertical="center"/>
    </xf>
    <xf numFmtId="0" fontId="7" fillId="3" borderId="24" xfId="0" applyFont="1" applyFill="1" applyBorder="1" applyAlignment="1">
      <alignment vertical="center"/>
    </xf>
    <xf numFmtId="0" fontId="7" fillId="3" borderId="25" xfId="0" applyFont="1" applyFill="1" applyBorder="1" applyAlignment="1">
      <alignment vertical="center"/>
    </xf>
    <xf numFmtId="0" fontId="7" fillId="3" borderId="31" xfId="0" applyFont="1" applyFill="1" applyBorder="1" applyAlignment="1">
      <alignment horizontal="center" vertical="center"/>
    </xf>
    <xf numFmtId="0" fontId="27" fillId="3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25" fillId="3" borderId="22" xfId="0" applyFont="1" applyFill="1" applyBorder="1" applyAlignment="1">
      <alignment horizontal="right" vertical="center"/>
    </xf>
    <xf numFmtId="14" fontId="25" fillId="3" borderId="0" xfId="0" applyNumberFormat="1" applyFont="1" applyFill="1" applyAlignment="1">
      <alignment horizontal="left" vertical="center"/>
    </xf>
    <xf numFmtId="0" fontId="0" fillId="3" borderId="0" xfId="0" applyFill="1" applyAlignment="1">
      <alignment vertical="center"/>
    </xf>
    <xf numFmtId="164" fontId="27" fillId="3" borderId="0" xfId="0" applyNumberFormat="1" applyFont="1" applyFill="1" applyAlignment="1">
      <alignment horizontal="center" vertical="center"/>
    </xf>
    <xf numFmtId="1" fontId="6" fillId="5" borderId="4" xfId="2" applyNumberFormat="1" applyFont="1" applyFill="1" applyBorder="1" applyAlignment="1" applyProtection="1">
      <alignment horizontal="center" vertical="center"/>
      <protection locked="0" hidden="1"/>
    </xf>
    <xf numFmtId="1" fontId="5" fillId="3" borderId="0" xfId="2" applyNumberFormat="1" applyFill="1" applyAlignment="1" applyProtection="1">
      <alignment horizontal="center" vertical="center"/>
      <protection locked="0" hidden="1"/>
    </xf>
    <xf numFmtId="2" fontId="5" fillId="3" borderId="0" xfId="2" applyNumberFormat="1" applyFill="1" applyAlignment="1" applyProtection="1">
      <alignment horizontal="center" vertical="center"/>
      <protection locked="0" hidden="1"/>
    </xf>
    <xf numFmtId="2" fontId="5" fillId="3" borderId="4" xfId="2" applyNumberFormat="1" applyFill="1" applyBorder="1" applyAlignment="1" applyProtection="1">
      <alignment horizontal="center" vertical="center"/>
      <protection locked="0" hidden="1"/>
    </xf>
    <xf numFmtId="2" fontId="6" fillId="5" borderId="4" xfId="2" applyNumberFormat="1" applyFont="1" applyFill="1" applyBorder="1" applyAlignment="1" applyProtection="1">
      <alignment horizontal="center" vertical="center"/>
      <protection locked="0" hidden="1"/>
    </xf>
    <xf numFmtId="0" fontId="31" fillId="3" borderId="0" xfId="0" applyFont="1" applyFill="1" applyAlignment="1">
      <alignment horizontal="center" vertical="center"/>
    </xf>
    <xf numFmtId="1" fontId="6" fillId="5" borderId="43" xfId="2" applyNumberFormat="1" applyFont="1" applyFill="1" applyBorder="1" applyAlignment="1" applyProtection="1">
      <alignment horizontal="center" vertical="center"/>
      <protection locked="0" hidden="1"/>
    </xf>
    <xf numFmtId="164" fontId="8" fillId="3" borderId="0" xfId="0" applyNumberFormat="1" applyFont="1" applyFill="1" applyAlignment="1">
      <alignment horizontal="center" vertical="center"/>
    </xf>
    <xf numFmtId="0" fontId="19" fillId="6" borderId="2" xfId="7" applyFont="1" applyFill="1" applyBorder="1" applyAlignment="1">
      <alignment horizontal="left" vertical="center"/>
    </xf>
    <xf numFmtId="0" fontId="16" fillId="3" borderId="0" xfId="0" applyFont="1" applyFill="1" applyAlignment="1">
      <alignment vertical="center"/>
    </xf>
    <xf numFmtId="0" fontId="26" fillId="3" borderId="0" xfId="0" applyFont="1" applyFill="1" applyAlignment="1">
      <alignment horizontal="center" vertical="center"/>
    </xf>
    <xf numFmtId="0" fontId="33" fillId="3" borderId="0" xfId="0" applyFont="1" applyFill="1" applyAlignment="1">
      <alignment vertical="center"/>
    </xf>
    <xf numFmtId="0" fontId="34" fillId="3" borderId="0" xfId="0" applyFont="1" applyFill="1" applyAlignment="1">
      <alignment horizontal="center" vertical="center"/>
    </xf>
    <xf numFmtId="0" fontId="33" fillId="3" borderId="0" xfId="0" applyFont="1" applyFill="1" applyAlignment="1">
      <alignment horizontal="right" vertical="center"/>
    </xf>
    <xf numFmtId="0" fontId="35" fillId="3" borderId="0" xfId="0" applyFont="1" applyFill="1" applyAlignment="1">
      <alignment vertical="center"/>
    </xf>
    <xf numFmtId="0" fontId="34" fillId="3" borderId="20" xfId="0" applyFont="1" applyFill="1" applyBorder="1" applyAlignment="1">
      <alignment horizontal="center" vertical="center"/>
    </xf>
    <xf numFmtId="0" fontId="34" fillId="3" borderId="10" xfId="0" applyFont="1" applyFill="1" applyBorder="1" applyAlignment="1">
      <alignment horizontal="center" vertical="center"/>
    </xf>
    <xf numFmtId="0" fontId="36" fillId="3" borderId="10" xfId="7" applyFont="1" applyFill="1" applyBorder="1" applyAlignment="1">
      <alignment horizontal="left" vertical="center"/>
    </xf>
    <xf numFmtId="0" fontId="38" fillId="3" borderId="10" xfId="7" applyFont="1" applyFill="1" applyBorder="1" applyAlignment="1">
      <alignment horizontal="right" vertical="center"/>
    </xf>
    <xf numFmtId="0" fontId="36" fillId="3" borderId="28" xfId="7" applyFont="1" applyFill="1" applyBorder="1" applyAlignment="1">
      <alignment horizontal="left" vertical="center"/>
    </xf>
    <xf numFmtId="0" fontId="34" fillId="3" borderId="37" xfId="0" applyFont="1" applyFill="1" applyBorder="1" applyAlignment="1">
      <alignment horizontal="center" vertical="center"/>
    </xf>
    <xf numFmtId="0" fontId="34" fillId="3" borderId="2" xfId="0" applyFont="1" applyFill="1" applyBorder="1" applyAlignment="1">
      <alignment horizontal="center" vertical="center"/>
    </xf>
    <xf numFmtId="0" fontId="36" fillId="3" borderId="2" xfId="7" applyFont="1" applyFill="1" applyBorder="1" applyAlignment="1">
      <alignment horizontal="left" vertical="center"/>
    </xf>
    <xf numFmtId="0" fontId="38" fillId="3" borderId="2" xfId="7" applyFont="1" applyFill="1" applyBorder="1" applyAlignment="1">
      <alignment horizontal="right" vertical="center"/>
    </xf>
    <xf numFmtId="0" fontId="40" fillId="3" borderId="2" xfId="7" applyFont="1" applyFill="1" applyBorder="1" applyAlignment="1">
      <alignment vertical="center"/>
    </xf>
    <xf numFmtId="0" fontId="36" fillId="3" borderId="16" xfId="7" applyFont="1" applyFill="1" applyBorder="1" applyAlignment="1">
      <alignment horizontal="left" vertical="center"/>
    </xf>
    <xf numFmtId="2" fontId="38" fillId="3" borderId="2" xfId="7" applyNumberFormat="1" applyFont="1" applyFill="1" applyBorder="1" applyAlignment="1">
      <alignment horizontal="right" vertical="center"/>
    </xf>
    <xf numFmtId="0" fontId="34" fillId="3" borderId="2" xfId="0" applyFont="1" applyFill="1" applyBorder="1" applyAlignment="1">
      <alignment horizontal="left" vertical="center"/>
    </xf>
    <xf numFmtId="0" fontId="34" fillId="3" borderId="16" xfId="0" applyFont="1" applyFill="1" applyBorder="1" applyAlignment="1">
      <alignment horizontal="left" vertical="center"/>
    </xf>
    <xf numFmtId="0" fontId="34" fillId="3" borderId="22" xfId="0" applyFont="1" applyFill="1" applyBorder="1" applyAlignment="1">
      <alignment vertical="center"/>
    </xf>
    <xf numFmtId="0" fontId="34" fillId="3" borderId="0" xfId="0" applyFont="1" applyFill="1" applyAlignment="1">
      <alignment vertical="center"/>
    </xf>
    <xf numFmtId="0" fontId="34" fillId="3" borderId="29" xfId="0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4" fillId="3" borderId="22" xfId="0" applyFont="1" applyFill="1" applyBorder="1" applyAlignment="1">
      <alignment horizontal="center" vertical="center"/>
    </xf>
    <xf numFmtId="0" fontId="35" fillId="3" borderId="29" xfId="0" applyFont="1" applyFill="1" applyBorder="1" applyAlignment="1">
      <alignment vertical="center"/>
    </xf>
    <xf numFmtId="0" fontId="33" fillId="3" borderId="29" xfId="0" applyFont="1" applyFill="1" applyBorder="1" applyAlignment="1">
      <alignment vertical="center"/>
    </xf>
    <xf numFmtId="0" fontId="37" fillId="3" borderId="0" xfId="0" applyFont="1" applyFill="1" applyAlignment="1">
      <alignment horizontal="center" vertical="center"/>
    </xf>
    <xf numFmtId="0" fontId="37" fillId="3" borderId="29" xfId="0" applyFont="1" applyFill="1" applyBorder="1" applyAlignment="1">
      <alignment horizontal="center" vertical="center"/>
    </xf>
    <xf numFmtId="0" fontId="39" fillId="3" borderId="0" xfId="0" applyFont="1" applyFill="1" applyAlignment="1">
      <alignment horizontal="center" vertical="center"/>
    </xf>
    <xf numFmtId="2" fontId="34" fillId="3" borderId="0" xfId="0" applyNumberFormat="1" applyFont="1" applyFill="1" applyAlignment="1">
      <alignment horizontal="center" vertical="center"/>
    </xf>
    <xf numFmtId="49" fontId="43" fillId="4" borderId="4" xfId="2" applyNumberFormat="1" applyFont="1" applyFill="1" applyBorder="1" applyAlignment="1" applyProtection="1">
      <alignment horizontal="center" vertical="center"/>
      <protection locked="0" hidden="1"/>
    </xf>
    <xf numFmtId="0" fontId="34" fillId="3" borderId="21" xfId="0" applyFont="1" applyFill="1" applyBorder="1" applyAlignment="1">
      <alignment horizontal="center" vertical="center"/>
    </xf>
    <xf numFmtId="0" fontId="34" fillId="3" borderId="27" xfId="0" applyFont="1" applyFill="1" applyBorder="1" applyAlignment="1">
      <alignment horizontal="center" vertical="center"/>
    </xf>
    <xf numFmtId="0" fontId="34" fillId="3" borderId="28" xfId="0" applyFont="1" applyFill="1" applyBorder="1" applyAlignment="1">
      <alignment horizontal="center" vertical="center"/>
    </xf>
    <xf numFmtId="0" fontId="34" fillId="3" borderId="23" xfId="0" applyFont="1" applyFill="1" applyBorder="1" applyAlignment="1">
      <alignment horizontal="center" vertical="center"/>
    </xf>
    <xf numFmtId="2" fontId="36" fillId="3" borderId="0" xfId="0" applyNumberFormat="1" applyFont="1" applyFill="1" applyAlignment="1">
      <alignment horizontal="right" vertical="center"/>
    </xf>
    <xf numFmtId="0" fontId="36" fillId="3" borderId="29" xfId="0" applyFont="1" applyFill="1" applyBorder="1" applyAlignment="1">
      <alignment horizontal="left" vertical="center"/>
    </xf>
    <xf numFmtId="0" fontId="34" fillId="3" borderId="24" xfId="0" applyFont="1" applyFill="1" applyBorder="1" applyAlignment="1">
      <alignment horizontal="center" vertical="center"/>
    </xf>
    <xf numFmtId="0" fontId="34" fillId="3" borderId="25" xfId="0" applyFont="1" applyFill="1" applyBorder="1" applyAlignment="1">
      <alignment horizontal="center" vertical="center"/>
    </xf>
    <xf numFmtId="0" fontId="34" fillId="3" borderId="26" xfId="0" applyFont="1" applyFill="1" applyBorder="1" applyAlignment="1">
      <alignment horizontal="center" vertical="center"/>
    </xf>
    <xf numFmtId="0" fontId="36" fillId="3" borderId="25" xfId="0" applyFont="1" applyFill="1" applyBorder="1" applyAlignment="1">
      <alignment horizontal="right" vertical="center"/>
    </xf>
    <xf numFmtId="0" fontId="36" fillId="3" borderId="31" xfId="0" applyFont="1" applyFill="1" applyBorder="1" applyAlignment="1">
      <alignment horizontal="left" vertical="center"/>
    </xf>
    <xf numFmtId="0" fontId="34" fillId="3" borderId="0" xfId="0" applyFont="1" applyFill="1" applyAlignment="1">
      <alignment horizontal="right" vertical="center"/>
    </xf>
    <xf numFmtId="2" fontId="34" fillId="3" borderId="0" xfId="0" applyNumberFormat="1" applyFont="1" applyFill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2" fontId="36" fillId="3" borderId="0" xfId="0" applyNumberFormat="1" applyFont="1" applyFill="1" applyAlignment="1">
      <alignment horizontal="center" vertical="center"/>
    </xf>
    <xf numFmtId="0" fontId="36" fillId="3" borderId="25" xfId="0" applyFont="1" applyFill="1" applyBorder="1" applyAlignment="1">
      <alignment horizontal="center" vertical="center"/>
    </xf>
    <xf numFmtId="2" fontId="34" fillId="3" borderId="25" xfId="0" applyNumberFormat="1" applyFont="1" applyFill="1" applyBorder="1" applyAlignment="1">
      <alignment horizontal="right" vertical="center"/>
    </xf>
    <xf numFmtId="2" fontId="34" fillId="3" borderId="31" xfId="0" applyNumberFormat="1" applyFont="1" applyFill="1" applyBorder="1" applyAlignment="1">
      <alignment horizontal="left" vertical="center"/>
    </xf>
    <xf numFmtId="0" fontId="39" fillId="0" borderId="0" xfId="0" applyFont="1" applyAlignment="1">
      <alignment vertical="center"/>
    </xf>
    <xf numFmtId="14" fontId="34" fillId="3" borderId="0" xfId="0" applyNumberFormat="1" applyFont="1" applyFill="1" applyAlignment="1">
      <alignment horizontal="left" vertical="center"/>
    </xf>
    <xf numFmtId="0" fontId="39" fillId="3" borderId="0" xfId="0" applyFont="1" applyFill="1" applyAlignment="1">
      <alignment vertical="center"/>
    </xf>
    <xf numFmtId="0" fontId="34" fillId="3" borderId="0" xfId="0" applyFont="1" applyFill="1"/>
    <xf numFmtId="0" fontId="34" fillId="3" borderId="29" xfId="0" applyFont="1" applyFill="1" applyBorder="1" applyAlignment="1">
      <alignment vertical="center"/>
    </xf>
    <xf numFmtId="0" fontId="39" fillId="3" borderId="29" xfId="0" applyFont="1" applyFill="1" applyBorder="1" applyAlignment="1">
      <alignment vertical="center"/>
    </xf>
    <xf numFmtId="0" fontId="39" fillId="3" borderId="22" xfId="0" applyFont="1" applyFill="1" applyBorder="1" applyAlignment="1">
      <alignment vertical="center"/>
    </xf>
    <xf numFmtId="0" fontId="34" fillId="3" borderId="24" xfId="0" applyFont="1" applyFill="1" applyBorder="1" applyAlignment="1">
      <alignment vertical="center"/>
    </xf>
    <xf numFmtId="0" fontId="34" fillId="3" borderId="25" xfId="0" applyFont="1" applyFill="1" applyBorder="1" applyAlignment="1">
      <alignment vertical="center"/>
    </xf>
    <xf numFmtId="0" fontId="34" fillId="3" borderId="31" xfId="0" applyFont="1" applyFill="1" applyBorder="1" applyAlignment="1">
      <alignment horizontal="center" vertical="center"/>
    </xf>
    <xf numFmtId="2" fontId="4" fillId="6" borderId="4" xfId="0" applyNumberFormat="1" applyFont="1" applyFill="1" applyBorder="1" applyAlignment="1" applyProtection="1">
      <alignment horizontal="center" vertical="center"/>
      <protection locked="0"/>
    </xf>
    <xf numFmtId="165" fontId="4" fillId="6" borderId="4" xfId="0" applyNumberFormat="1" applyFont="1" applyFill="1" applyBorder="1" applyAlignment="1" applyProtection="1">
      <alignment horizontal="center" vertical="center"/>
      <protection locked="0"/>
    </xf>
    <xf numFmtId="2" fontId="13" fillId="6" borderId="0" xfId="0" applyNumberFormat="1" applyFont="1" applyFill="1" applyAlignment="1">
      <alignment horizontal="right" vertical="center"/>
    </xf>
    <xf numFmtId="0" fontId="36" fillId="6" borderId="2" xfId="7" applyFont="1" applyFill="1" applyBorder="1" applyAlignment="1">
      <alignment horizontal="left" vertical="center"/>
    </xf>
    <xf numFmtId="2" fontId="44" fillId="6" borderId="4" xfId="0" applyNumberFormat="1" applyFont="1" applyFill="1" applyBorder="1" applyAlignment="1" applyProtection="1">
      <alignment horizontal="center" vertical="center"/>
      <protection locked="0"/>
    </xf>
    <xf numFmtId="165" fontId="44" fillId="6" borderId="4" xfId="0" applyNumberFormat="1" applyFont="1" applyFill="1" applyBorder="1" applyAlignment="1" applyProtection="1">
      <alignment horizontal="center" vertical="center"/>
      <protection locked="0"/>
    </xf>
    <xf numFmtId="2" fontId="36" fillId="6" borderId="0" xfId="0" applyNumberFormat="1" applyFont="1" applyFill="1" applyAlignment="1">
      <alignment horizontal="right" vertical="center"/>
    </xf>
    <xf numFmtId="0" fontId="8" fillId="3" borderId="0" xfId="0" applyFont="1" applyFill="1" applyAlignment="1">
      <alignment horizontal="center" vertical="center"/>
    </xf>
    <xf numFmtId="2" fontId="8" fillId="3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0" fontId="50" fillId="3" borderId="0" xfId="7" applyFont="1" applyFill="1" applyAlignment="1">
      <alignment horizontal="left" vertical="center"/>
    </xf>
    <xf numFmtId="0" fontId="50" fillId="3" borderId="0" xfId="0" applyFont="1" applyFill="1" applyAlignment="1">
      <alignment horizontal="left" vertical="center"/>
    </xf>
    <xf numFmtId="0" fontId="51" fillId="3" borderId="0" xfId="0" applyFont="1" applyFill="1" applyAlignment="1">
      <alignment vertical="center"/>
    </xf>
    <xf numFmtId="0" fontId="8" fillId="3" borderId="0" xfId="0" applyFont="1" applyFill="1" applyAlignment="1">
      <alignment vertical="center"/>
    </xf>
    <xf numFmtId="0" fontId="10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vertical="center"/>
    </xf>
    <xf numFmtId="2" fontId="13" fillId="6" borderId="0" xfId="0" applyNumberFormat="1" applyFont="1" applyFill="1" applyAlignment="1">
      <alignment horizontal="center" vertical="center"/>
    </xf>
    <xf numFmtId="2" fontId="36" fillId="6" borderId="0" xfId="0" applyNumberFormat="1" applyFont="1" applyFill="1" applyAlignment="1">
      <alignment horizontal="center" vertical="center"/>
    </xf>
    <xf numFmtId="0" fontId="15" fillId="3" borderId="0" xfId="0" applyFont="1" applyFill="1" applyAlignment="1">
      <alignment horizontal="left" vertical="center"/>
    </xf>
    <xf numFmtId="0" fontId="16" fillId="3" borderId="29" xfId="0" applyFont="1" applyFill="1" applyBorder="1" applyAlignment="1">
      <alignment horizontal="left" vertical="center"/>
    </xf>
    <xf numFmtId="0" fontId="15" fillId="3" borderId="29" xfId="0" applyFont="1" applyFill="1" applyBorder="1" applyAlignment="1">
      <alignment horizontal="left" vertical="center"/>
    </xf>
    <xf numFmtId="0" fontId="7" fillId="3" borderId="29" xfId="0" applyFont="1" applyFill="1" applyBorder="1" applyAlignment="1">
      <alignment horizontal="left" vertical="center"/>
    </xf>
    <xf numFmtId="165" fontId="15" fillId="3" borderId="0" xfId="0" applyNumberFormat="1" applyFont="1" applyFill="1" applyAlignment="1">
      <alignment horizontal="right" vertical="center"/>
    </xf>
    <xf numFmtId="2" fontId="15" fillId="3" borderId="0" xfId="0" applyNumberFormat="1" applyFont="1" applyFill="1" applyAlignment="1">
      <alignment horizontal="right" vertical="center"/>
    </xf>
    <xf numFmtId="165" fontId="33" fillId="3" borderId="0" xfId="0" applyNumberFormat="1" applyFont="1" applyFill="1" applyAlignment="1">
      <alignment horizontal="right" vertical="center"/>
    </xf>
    <xf numFmtId="2" fontId="33" fillId="3" borderId="0" xfId="0" applyNumberFormat="1" applyFont="1" applyFill="1" applyAlignment="1">
      <alignment horizontal="right" vertical="center"/>
    </xf>
    <xf numFmtId="0" fontId="7" fillId="6" borderId="27" xfId="0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6" borderId="40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6" fillId="4" borderId="7" xfId="1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2" fontId="6" fillId="4" borderId="2" xfId="2" applyNumberFormat="1" applyFont="1" applyFill="1" applyBorder="1" applyAlignment="1" applyProtection="1">
      <alignment horizontal="center" vertical="center"/>
      <protection locked="0" hidden="1"/>
    </xf>
    <xf numFmtId="0" fontId="6" fillId="4" borderId="2" xfId="1" applyFont="1" applyFill="1" applyBorder="1" applyAlignment="1" applyProtection="1">
      <alignment horizontal="center" vertical="center"/>
      <protection locked="0" hidden="1"/>
    </xf>
    <xf numFmtId="0" fontId="6" fillId="4" borderId="3" xfId="1" applyFont="1" applyFill="1" applyBorder="1" applyAlignment="1" applyProtection="1">
      <alignment horizontal="center" vertical="center"/>
      <protection locked="0" hidden="1"/>
    </xf>
    <xf numFmtId="1" fontId="23" fillId="2" borderId="1" xfId="2" applyNumberFormat="1" applyFont="1" applyFill="1" applyBorder="1" applyAlignment="1" applyProtection="1">
      <alignment horizontal="center" vertical="center"/>
      <protection locked="0" hidden="1"/>
    </xf>
    <xf numFmtId="0" fontId="24" fillId="2" borderId="3" xfId="0" applyFont="1" applyFill="1" applyBorder="1" applyAlignment="1">
      <alignment horizontal="center" vertical="center"/>
    </xf>
    <xf numFmtId="0" fontId="6" fillId="3" borderId="0" xfId="1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7" fillId="6" borderId="33" xfId="0" applyFont="1" applyFill="1" applyBorder="1" applyAlignment="1">
      <alignment horizontal="right" vertical="center"/>
    </xf>
    <xf numFmtId="0" fontId="7" fillId="6" borderId="7" xfId="0" applyFont="1" applyFill="1" applyBorder="1" applyAlignment="1">
      <alignment horizontal="right" vertical="center"/>
    </xf>
    <xf numFmtId="2" fontId="7" fillId="6" borderId="2" xfId="0" applyNumberFormat="1" applyFont="1" applyFill="1" applyBorder="1" applyAlignment="1">
      <alignment horizontal="right" vertical="center"/>
    </xf>
    <xf numFmtId="0" fontId="0" fillId="6" borderId="17" xfId="0" applyFill="1" applyBorder="1" applyAlignment="1">
      <alignment horizontal="right" vertical="center"/>
    </xf>
    <xf numFmtId="49" fontId="6" fillId="4" borderId="4" xfId="2" applyNumberFormat="1" applyFont="1" applyFill="1" applyBorder="1" applyAlignment="1" applyProtection="1">
      <alignment horizontal="center" vertical="center"/>
      <protection locked="0" hidden="1"/>
    </xf>
    <xf numFmtId="0" fontId="0" fillId="0" borderId="4" xfId="0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21" xfId="0" applyFont="1" applyFill="1" applyBorder="1" applyAlignment="1">
      <alignment horizontal="center" vertical="center"/>
    </xf>
    <xf numFmtId="0" fontId="7" fillId="6" borderId="40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left" vertical="center"/>
    </xf>
    <xf numFmtId="0" fontId="0" fillId="0" borderId="39" xfId="0" applyBorder="1" applyAlignment="1">
      <alignment horizontal="left" vertical="center"/>
    </xf>
    <xf numFmtId="0" fontId="7" fillId="3" borderId="38" xfId="0" applyFont="1" applyFill="1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8" fillId="4" borderId="41" xfId="0" applyFont="1" applyFill="1" applyBorder="1" applyAlignment="1">
      <alignment horizontal="right" vertical="center"/>
    </xf>
    <xf numFmtId="0" fontId="8" fillId="4" borderId="18" xfId="0" applyFont="1" applyFill="1" applyBorder="1" applyAlignment="1">
      <alignment horizontal="right" vertical="center"/>
    </xf>
    <xf numFmtId="0" fontId="0" fillId="0" borderId="18" xfId="0" applyBorder="1" applyAlignment="1">
      <alignment vertical="center"/>
    </xf>
    <xf numFmtId="0" fontId="8" fillId="4" borderId="37" xfId="0" applyFont="1" applyFill="1" applyBorder="1" applyAlignment="1">
      <alignment horizontal="right" vertical="center"/>
    </xf>
    <xf numFmtId="0" fontId="8" fillId="4" borderId="2" xfId="0" applyFont="1" applyFill="1" applyBorder="1" applyAlignment="1">
      <alignment horizontal="right" vertical="center"/>
    </xf>
    <xf numFmtId="0" fontId="0" fillId="0" borderId="2" xfId="0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17" xfId="0" applyBorder="1" applyAlignment="1">
      <alignment vertical="center"/>
    </xf>
    <xf numFmtId="2" fontId="6" fillId="4" borderId="12" xfId="2" applyNumberFormat="1" applyFont="1" applyFill="1" applyBorder="1" applyAlignment="1" applyProtection="1">
      <alignment horizontal="center" vertical="center"/>
      <protection locked="0" hidden="1"/>
    </xf>
    <xf numFmtId="2" fontId="6" fillId="4" borderId="13" xfId="2" applyNumberFormat="1" applyFont="1" applyFill="1" applyBorder="1" applyAlignment="1" applyProtection="1">
      <alignment horizontal="center" vertical="center"/>
      <protection locked="0" hidden="1"/>
    </xf>
    <xf numFmtId="2" fontId="6" fillId="4" borderId="14" xfId="2" applyNumberFormat="1" applyFont="1" applyFill="1" applyBorder="1" applyAlignment="1" applyProtection="1">
      <alignment horizontal="center" vertical="center"/>
      <protection locked="0" hidden="1"/>
    </xf>
    <xf numFmtId="2" fontId="6" fillId="4" borderId="4" xfId="2" applyNumberFormat="1" applyFont="1" applyFill="1" applyBorder="1" applyAlignment="1" applyProtection="1">
      <alignment horizontal="center" vertical="center"/>
      <protection locked="0" hidden="1"/>
    </xf>
    <xf numFmtId="0" fontId="15" fillId="3" borderId="0" xfId="0" applyFont="1" applyFill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4" fillId="2" borderId="22" xfId="7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29" xfId="0" applyFill="1" applyBorder="1" applyAlignment="1">
      <alignment horizontal="center" vertical="center"/>
    </xf>
    <xf numFmtId="49" fontId="20" fillId="4" borderId="18" xfId="2" applyNumberFormat="1" applyFont="1" applyFill="1" applyBorder="1" applyAlignment="1" applyProtection="1">
      <alignment horizontal="center" vertical="center"/>
      <protection locked="0" hidden="1"/>
    </xf>
    <xf numFmtId="49" fontId="20" fillId="4" borderId="38" xfId="2" applyNumberFormat="1" applyFont="1" applyFill="1" applyBorder="1" applyAlignment="1" applyProtection="1">
      <alignment horizontal="center" vertical="center"/>
      <protection locked="0" hidden="1"/>
    </xf>
    <xf numFmtId="0" fontId="11" fillId="4" borderId="33" xfId="7" applyFont="1" applyFill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/>
    </xf>
    <xf numFmtId="0" fontId="21" fillId="0" borderId="34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1" fillId="0" borderId="35" xfId="0" applyFont="1" applyBorder="1" applyAlignment="1">
      <alignment horizontal="center" vertical="center"/>
    </xf>
    <xf numFmtId="0" fontId="7" fillId="3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3" fillId="3" borderId="0" xfId="0" applyFont="1" applyFill="1" applyAlignment="1">
      <alignment horizontal="left" vertical="center"/>
    </xf>
    <xf numFmtId="0" fontId="26" fillId="3" borderId="29" xfId="0" applyFont="1" applyFill="1" applyBorder="1" applyAlignment="1">
      <alignment horizontal="left" vertical="center"/>
    </xf>
    <xf numFmtId="49" fontId="20" fillId="4" borderId="13" xfId="2" applyNumberFormat="1" applyFont="1" applyFill="1" applyBorder="1" applyAlignment="1" applyProtection="1">
      <alignment horizontal="center" vertical="center"/>
      <protection locked="0" hidden="1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17" fillId="3" borderId="36" xfId="7" applyFont="1" applyFill="1" applyBorder="1" applyAlignment="1">
      <alignment horizontal="right" vertical="center"/>
    </xf>
    <xf numFmtId="0" fontId="0" fillId="3" borderId="9" xfId="0" applyFill="1" applyBorder="1" applyAlignment="1">
      <alignment vertical="center"/>
    </xf>
    <xf numFmtId="0" fontId="17" fillId="3" borderId="37" xfId="7" applyFont="1" applyFill="1" applyBorder="1" applyAlignment="1">
      <alignment horizontal="right" vertical="center"/>
    </xf>
    <xf numFmtId="0" fontId="0" fillId="3" borderId="2" xfId="0" applyFill="1" applyBorder="1" applyAlignment="1">
      <alignment vertical="center"/>
    </xf>
    <xf numFmtId="49" fontId="20" fillId="4" borderId="4" xfId="2" applyNumberFormat="1" applyFont="1" applyFill="1" applyBorder="1" applyAlignment="1" applyProtection="1">
      <alignment horizontal="center" vertical="center"/>
      <protection locked="0" hidden="1"/>
    </xf>
    <xf numFmtId="0" fontId="9" fillId="0" borderId="4" xfId="0" applyFont="1" applyBorder="1" applyAlignment="1">
      <alignment horizontal="center" vertical="center"/>
    </xf>
    <xf numFmtId="49" fontId="20" fillId="4" borderId="27" xfId="2" applyNumberFormat="1" applyFont="1" applyFill="1" applyBorder="1" applyAlignment="1" applyProtection="1">
      <alignment horizontal="center" vertical="center"/>
      <protection locked="0" hidden="1"/>
    </xf>
    <xf numFmtId="49" fontId="20" fillId="4" borderId="10" xfId="2" applyNumberFormat="1" applyFont="1" applyFill="1" applyBorder="1" applyAlignment="1" applyProtection="1">
      <alignment horizontal="center" vertical="center"/>
      <protection locked="0" hidden="1"/>
    </xf>
    <xf numFmtId="49" fontId="20" fillId="4" borderId="21" xfId="2" applyNumberFormat="1" applyFont="1" applyFill="1" applyBorder="1" applyAlignment="1" applyProtection="1">
      <alignment horizontal="center" vertical="center"/>
      <protection locked="0" hidden="1"/>
    </xf>
    <xf numFmtId="49" fontId="20" fillId="4" borderId="40" xfId="2" applyNumberFormat="1" applyFont="1" applyFill="1" applyBorder="1" applyAlignment="1" applyProtection="1">
      <alignment horizontal="center" vertical="center"/>
      <protection locked="0" hidden="1"/>
    </xf>
    <xf numFmtId="49" fontId="20" fillId="4" borderId="7" xfId="2" applyNumberFormat="1" applyFont="1" applyFill="1" applyBorder="1" applyAlignment="1" applyProtection="1">
      <alignment horizontal="center" vertical="center"/>
      <protection locked="0" hidden="1"/>
    </xf>
    <xf numFmtId="49" fontId="20" fillId="4" borderId="6" xfId="2" applyNumberFormat="1" applyFont="1" applyFill="1" applyBorder="1" applyAlignment="1" applyProtection="1">
      <alignment horizontal="center" vertical="center"/>
      <protection locked="0" hidden="1"/>
    </xf>
    <xf numFmtId="49" fontId="20" fillId="4" borderId="12" xfId="2" applyNumberFormat="1" applyFont="1" applyFill="1" applyBorder="1" applyAlignment="1" applyProtection="1">
      <alignment horizontal="center" vertical="center" wrapText="1"/>
      <protection locked="0" hidden="1"/>
    </xf>
    <xf numFmtId="0" fontId="20" fillId="4" borderId="15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19" xfId="0" applyFont="1" applyFill="1" applyBorder="1" applyAlignment="1">
      <alignment horizontal="center" vertical="center"/>
    </xf>
    <xf numFmtId="49" fontId="20" fillId="4" borderId="12" xfId="2" applyNumberFormat="1" applyFont="1" applyFill="1" applyBorder="1" applyAlignment="1" applyProtection="1">
      <alignment horizontal="center" vertical="center"/>
      <protection locked="0" hidden="1"/>
    </xf>
    <xf numFmtId="0" fontId="13" fillId="3" borderId="30" xfId="0" applyFont="1" applyFill="1" applyBorder="1" applyAlignment="1">
      <alignment horizontal="right" vertical="center"/>
    </xf>
    <xf numFmtId="0" fontId="0" fillId="0" borderId="25" xfId="0" applyBorder="1" applyAlignment="1">
      <alignment vertical="center"/>
    </xf>
    <xf numFmtId="0" fontId="13" fillId="3" borderId="11" xfId="0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49" fontId="13" fillId="3" borderId="30" xfId="0" applyNumberFormat="1" applyFont="1" applyFill="1" applyBorder="1" applyAlignment="1">
      <alignment horizontal="right" vertical="center"/>
    </xf>
    <xf numFmtId="0" fontId="0" fillId="3" borderId="0" xfId="0" applyFill="1" applyAlignment="1">
      <alignment vertical="center"/>
    </xf>
    <xf numFmtId="0" fontId="0" fillId="3" borderId="25" xfId="0" applyFill="1" applyBorder="1" applyAlignment="1">
      <alignment vertical="center"/>
    </xf>
    <xf numFmtId="0" fontId="7" fillId="3" borderId="22" xfId="0" applyFont="1" applyFill="1" applyBorder="1" applyAlignment="1">
      <alignment horizontal="center" vertical="center" wrapText="1"/>
    </xf>
    <xf numFmtId="0" fontId="0" fillId="0" borderId="29" xfId="0" applyBorder="1" applyAlignment="1">
      <alignment vertical="center"/>
    </xf>
    <xf numFmtId="0" fontId="0" fillId="0" borderId="22" xfId="0" applyBorder="1" applyAlignment="1">
      <alignment vertical="center"/>
    </xf>
    <xf numFmtId="0" fontId="25" fillId="3" borderId="10" xfId="0" applyFont="1" applyFill="1" applyBorder="1" applyAlignment="1">
      <alignment horizontal="center" vertical="center"/>
    </xf>
    <xf numFmtId="0" fontId="0" fillId="0" borderId="10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14" fontId="25" fillId="3" borderId="0" xfId="0" applyNumberFormat="1" applyFont="1" applyFill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20" fillId="4" borderId="32" xfId="6" applyFont="1" applyFill="1" applyBorder="1" applyAlignment="1">
      <alignment horizontal="center"/>
    </xf>
    <xf numFmtId="0" fontId="9" fillId="4" borderId="33" xfId="0" applyFont="1" applyFill="1" applyBorder="1" applyAlignment="1">
      <alignment horizontal="center"/>
    </xf>
    <xf numFmtId="0" fontId="0" fillId="4" borderId="33" xfId="0" applyFill="1" applyBorder="1" applyAlignment="1">
      <alignment horizontal="center"/>
    </xf>
    <xf numFmtId="0" fontId="0" fillId="4" borderId="34" xfId="0" applyFill="1" applyBorder="1" applyAlignment="1">
      <alignment horizontal="center"/>
    </xf>
    <xf numFmtId="0" fontId="20" fillId="4" borderId="22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0" fillId="4" borderId="24" xfId="0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34" fillId="3" borderId="0" xfId="0" applyFont="1" applyFill="1" applyAlignment="1">
      <alignment horizontal="center" vertical="center" wrapText="1"/>
    </xf>
    <xf numFmtId="1" fontId="41" fillId="2" borderId="4" xfId="2" applyNumberFormat="1" applyFont="1" applyFill="1" applyBorder="1" applyAlignment="1" applyProtection="1">
      <alignment horizontal="center" vertical="center"/>
      <protection locked="0" hidden="1"/>
    </xf>
    <xf numFmtId="0" fontId="43" fillId="4" borderId="37" xfId="0" applyFont="1" applyFill="1" applyBorder="1" applyAlignment="1">
      <alignment horizontal="center" vertical="center"/>
    </xf>
    <xf numFmtId="0" fontId="43" fillId="4" borderId="2" xfId="0" applyFont="1" applyFill="1" applyBorder="1" applyAlignment="1">
      <alignment horizontal="center" vertical="center"/>
    </xf>
    <xf numFmtId="0" fontId="43" fillId="4" borderId="3" xfId="0" applyFont="1" applyFill="1" applyBorder="1" applyAlignment="1">
      <alignment horizontal="center" vertical="center"/>
    </xf>
    <xf numFmtId="49" fontId="43" fillId="4" borderId="41" xfId="2" applyNumberFormat="1" applyFont="1" applyFill="1" applyBorder="1" applyAlignment="1" applyProtection="1">
      <alignment horizontal="center" vertical="center"/>
      <protection locked="0" hidden="1"/>
    </xf>
    <xf numFmtId="49" fontId="43" fillId="4" borderId="18" xfId="2" applyNumberFormat="1" applyFont="1" applyFill="1" applyBorder="1" applyAlignment="1" applyProtection="1">
      <alignment horizontal="center" vertical="center"/>
      <protection locked="0" hidden="1"/>
    </xf>
    <xf numFmtId="49" fontId="43" fillId="4" borderId="38" xfId="2" applyNumberFormat="1" applyFont="1" applyFill="1" applyBorder="1" applyAlignment="1" applyProtection="1">
      <alignment horizontal="center" vertical="center"/>
      <protection locked="0" hidden="1"/>
    </xf>
    <xf numFmtId="49" fontId="36" fillId="3" borderId="30" xfId="0" applyNumberFormat="1" applyFont="1" applyFill="1" applyBorder="1" applyAlignment="1">
      <alignment horizontal="right" vertical="center"/>
    </xf>
    <xf numFmtId="49" fontId="36" fillId="3" borderId="25" xfId="0" applyNumberFormat="1" applyFont="1" applyFill="1" applyBorder="1" applyAlignment="1">
      <alignment horizontal="right" vertical="center"/>
    </xf>
    <xf numFmtId="49" fontId="43" fillId="4" borderId="12" xfId="2" applyNumberFormat="1" applyFont="1" applyFill="1" applyBorder="1" applyAlignment="1" applyProtection="1">
      <alignment horizontal="center" vertical="center"/>
      <protection locked="0" hidden="1"/>
    </xf>
    <xf numFmtId="0" fontId="39" fillId="0" borderId="13" xfId="0" applyFont="1" applyBorder="1" applyAlignment="1">
      <alignment horizontal="center" vertical="center"/>
    </xf>
    <xf numFmtId="0" fontId="39" fillId="0" borderId="14" xfId="0" applyFont="1" applyBorder="1" applyAlignment="1">
      <alignment horizontal="center" vertical="center"/>
    </xf>
    <xf numFmtId="0" fontId="43" fillId="4" borderId="15" xfId="0" applyFont="1" applyFill="1" applyBorder="1" applyAlignment="1">
      <alignment horizontal="center" vertical="center"/>
    </xf>
    <xf numFmtId="0" fontId="45" fillId="0" borderId="4" xfId="0" applyFont="1" applyBorder="1" applyAlignment="1">
      <alignment horizontal="center" vertical="center"/>
    </xf>
    <xf numFmtId="0" fontId="43" fillId="4" borderId="4" xfId="0" applyFont="1" applyFill="1" applyBorder="1" applyAlignment="1">
      <alignment horizontal="center" vertical="center"/>
    </xf>
    <xf numFmtId="0" fontId="45" fillId="4" borderId="4" xfId="0" applyFont="1" applyFill="1" applyBorder="1" applyAlignment="1">
      <alignment horizontal="center" vertical="center"/>
    </xf>
    <xf numFmtId="0" fontId="46" fillId="4" borderId="4" xfId="0" applyFont="1" applyFill="1" applyBorder="1" applyAlignment="1">
      <alignment horizontal="center" vertical="center"/>
    </xf>
    <xf numFmtId="0" fontId="46" fillId="4" borderId="19" xfId="0" applyFont="1" applyFill="1" applyBorder="1" applyAlignment="1">
      <alignment horizontal="center" vertical="center"/>
    </xf>
    <xf numFmtId="49" fontId="43" fillId="4" borderId="44" xfId="2" applyNumberFormat="1" applyFont="1" applyFill="1" applyBorder="1" applyAlignment="1" applyProtection="1">
      <alignment horizontal="center" vertical="center"/>
      <protection locked="0" hidden="1"/>
    </xf>
    <xf numFmtId="0" fontId="41" fillId="2" borderId="22" xfId="7" applyFont="1" applyFill="1" applyBorder="1" applyAlignment="1">
      <alignment horizontal="center" vertical="center"/>
    </xf>
    <xf numFmtId="0" fontId="41" fillId="2" borderId="0" xfId="7" applyFont="1" applyFill="1" applyAlignment="1">
      <alignment horizontal="center" vertical="center"/>
    </xf>
    <xf numFmtId="0" fontId="41" fillId="2" borderId="29" xfId="7" applyFont="1" applyFill="1" applyBorder="1" applyAlignment="1">
      <alignment horizontal="center" vertical="center"/>
    </xf>
    <xf numFmtId="0" fontId="36" fillId="3" borderId="11" xfId="0" applyFont="1" applyFill="1" applyBorder="1" applyAlignment="1">
      <alignment horizontal="right" vertical="center"/>
    </xf>
    <xf numFmtId="0" fontId="39" fillId="0" borderId="0" xfId="0" applyFont="1" applyAlignment="1">
      <alignment vertical="center"/>
    </xf>
    <xf numFmtId="0" fontId="34" fillId="3" borderId="10" xfId="0" applyFont="1" applyFill="1" applyBorder="1" applyAlignment="1">
      <alignment horizontal="center" vertical="center"/>
    </xf>
    <xf numFmtId="0" fontId="39" fillId="0" borderId="10" xfId="0" applyFont="1" applyBorder="1" applyAlignment="1">
      <alignment vertical="center"/>
    </xf>
    <xf numFmtId="0" fontId="39" fillId="0" borderId="10" xfId="0" applyFont="1" applyBorder="1" applyAlignment="1">
      <alignment horizontal="center" vertical="center"/>
    </xf>
    <xf numFmtId="0" fontId="39" fillId="0" borderId="25" xfId="0" applyFont="1" applyBorder="1" applyAlignment="1">
      <alignment vertical="center"/>
    </xf>
    <xf numFmtId="49" fontId="43" fillId="4" borderId="12" xfId="2" applyNumberFormat="1" applyFont="1" applyFill="1" applyBorder="1" applyAlignment="1" applyProtection="1">
      <alignment horizontal="center" vertical="center" wrapText="1"/>
      <protection locked="0" hidden="1"/>
    </xf>
    <xf numFmtId="0" fontId="36" fillId="3" borderId="30" xfId="0" applyFont="1" applyFill="1" applyBorder="1" applyAlignment="1">
      <alignment horizontal="right" vertical="center"/>
    </xf>
    <xf numFmtId="0" fontId="36" fillId="3" borderId="0" xfId="0" applyFont="1" applyFill="1" applyAlignment="1">
      <alignment horizontal="right" vertical="center"/>
    </xf>
    <xf numFmtId="0" fontId="43" fillId="4" borderId="32" xfId="6" applyFont="1" applyFill="1" applyBorder="1" applyAlignment="1">
      <alignment horizontal="center"/>
    </xf>
    <xf numFmtId="0" fontId="39" fillId="4" borderId="33" xfId="0" applyFont="1" applyFill="1" applyBorder="1" applyAlignment="1">
      <alignment horizontal="center"/>
    </xf>
    <xf numFmtId="0" fontId="39" fillId="4" borderId="34" xfId="0" applyFont="1" applyFill="1" applyBorder="1" applyAlignment="1">
      <alignment horizontal="center"/>
    </xf>
    <xf numFmtId="0" fontId="43" fillId="4" borderId="22" xfId="0" applyFont="1" applyFill="1" applyBorder="1" applyAlignment="1">
      <alignment horizontal="center" vertical="center"/>
    </xf>
    <xf numFmtId="0" fontId="39" fillId="4" borderId="0" xfId="0" applyFont="1" applyFill="1" applyAlignment="1">
      <alignment horizontal="center" vertical="center"/>
    </xf>
    <xf numFmtId="0" fontId="34" fillId="3" borderId="0" xfId="0" applyFont="1" applyFill="1" applyAlignment="1">
      <alignment horizontal="center" vertical="center"/>
    </xf>
    <xf numFmtId="0" fontId="39" fillId="0" borderId="29" xfId="0" applyFont="1" applyBorder="1" applyAlignment="1">
      <alignment horizontal="center" vertical="center"/>
    </xf>
    <xf numFmtId="0" fontId="43" fillId="4" borderId="24" xfId="0" applyFont="1" applyFill="1" applyBorder="1" applyAlignment="1">
      <alignment horizontal="center" vertical="center"/>
    </xf>
    <xf numFmtId="0" fontId="39" fillId="4" borderId="25" xfId="0" applyFont="1" applyFill="1" applyBorder="1" applyAlignment="1">
      <alignment horizontal="center" vertical="center"/>
    </xf>
    <xf numFmtId="0" fontId="34" fillId="3" borderId="0" xfId="0" applyFont="1" applyFill="1" applyAlignment="1">
      <alignment horizontal="right" vertical="center"/>
    </xf>
    <xf numFmtId="14" fontId="34" fillId="3" borderId="0" xfId="0" applyNumberFormat="1" applyFont="1" applyFill="1" applyAlignment="1">
      <alignment horizontal="left" vertical="center"/>
    </xf>
    <xf numFmtId="0" fontId="39" fillId="3" borderId="0" xfId="0" applyFont="1" applyFill="1" applyAlignment="1">
      <alignment vertical="center"/>
    </xf>
    <xf numFmtId="0" fontId="39" fillId="3" borderId="25" xfId="0" applyFont="1" applyFill="1" applyBorder="1" applyAlignment="1">
      <alignment vertical="center"/>
    </xf>
    <xf numFmtId="0" fontId="43" fillId="4" borderId="1" xfId="0" applyFont="1" applyFill="1" applyBorder="1" applyAlignment="1">
      <alignment horizontal="center" vertical="center"/>
    </xf>
    <xf numFmtId="0" fontId="43" fillId="4" borderId="16" xfId="0" applyFont="1" applyFill="1" applyBorder="1" applyAlignment="1">
      <alignment horizontal="center" vertical="center"/>
    </xf>
    <xf numFmtId="2" fontId="43" fillId="4" borderId="4" xfId="2" applyNumberFormat="1" applyFont="1" applyFill="1" applyBorder="1" applyAlignment="1" applyProtection="1">
      <alignment horizontal="center" vertical="center"/>
      <protection locked="0" hidden="1"/>
    </xf>
    <xf numFmtId="0" fontId="6" fillId="4" borderId="1" xfId="1" applyFont="1" applyFill="1" applyBorder="1" applyAlignment="1">
      <alignment horizontal="center" vertical="center"/>
    </xf>
    <xf numFmtId="0" fontId="6" fillId="4" borderId="2" xfId="1" applyFont="1" applyFill="1" applyBorder="1" applyAlignment="1">
      <alignment horizontal="center" vertical="center"/>
    </xf>
    <xf numFmtId="0" fontId="6" fillId="4" borderId="3" xfId="1" applyFont="1" applyFill="1" applyBorder="1" applyAlignment="1">
      <alignment horizontal="center" vertical="center"/>
    </xf>
    <xf numFmtId="2" fontId="6" fillId="4" borderId="3" xfId="2" applyNumberFormat="1" applyFont="1" applyFill="1" applyBorder="1" applyAlignment="1" applyProtection="1">
      <alignment horizontal="center" vertical="center"/>
      <protection locked="0" hidden="1"/>
    </xf>
    <xf numFmtId="2" fontId="6" fillId="4" borderId="7" xfId="2" applyNumberFormat="1" applyFont="1" applyFill="1" applyBorder="1" applyAlignment="1" applyProtection="1">
      <alignment horizontal="center" vertical="center"/>
      <protection locked="0" hidden="1"/>
    </xf>
    <xf numFmtId="2" fontId="6" fillId="4" borderId="6" xfId="2" applyNumberFormat="1" applyFont="1" applyFill="1" applyBorder="1" applyAlignment="1" applyProtection="1">
      <alignment horizontal="center" vertical="center"/>
      <protection locked="0" hidden="1"/>
    </xf>
    <xf numFmtId="49" fontId="43" fillId="4" borderId="4" xfId="2" applyNumberFormat="1" applyFont="1" applyFill="1" applyBorder="1" applyAlignment="1" applyProtection="1">
      <alignment horizontal="center" vertical="center"/>
      <protection locked="0" hidden="1"/>
    </xf>
    <xf numFmtId="0" fontId="39" fillId="0" borderId="4" xfId="0" applyFont="1" applyBorder="1" applyAlignment="1">
      <alignment horizontal="center" vertical="center"/>
    </xf>
    <xf numFmtId="0" fontId="34" fillId="6" borderId="27" xfId="0" applyFont="1" applyFill="1" applyBorder="1" applyAlignment="1">
      <alignment horizontal="center" vertical="center"/>
    </xf>
    <xf numFmtId="0" fontId="39" fillId="6" borderId="10" xfId="0" applyFont="1" applyFill="1" applyBorder="1" applyAlignment="1">
      <alignment horizontal="center" vertical="center"/>
    </xf>
    <xf numFmtId="0" fontId="39" fillId="6" borderId="21" xfId="0" applyFont="1" applyFill="1" applyBorder="1" applyAlignment="1">
      <alignment horizontal="center" vertical="center"/>
    </xf>
    <xf numFmtId="0" fontId="39" fillId="6" borderId="40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42" fillId="4" borderId="37" xfId="0" applyFont="1" applyFill="1" applyBorder="1" applyAlignment="1">
      <alignment horizontal="right" vertical="center"/>
    </xf>
    <xf numFmtId="0" fontId="39" fillId="0" borderId="2" xfId="0" applyFont="1" applyBorder="1" applyAlignment="1">
      <alignment vertical="center"/>
    </xf>
    <xf numFmtId="0" fontId="39" fillId="0" borderId="42" xfId="0" applyFont="1" applyBorder="1" applyAlignment="1">
      <alignment vertical="center"/>
    </xf>
    <xf numFmtId="0" fontId="39" fillId="0" borderId="17" xfId="0" applyFont="1" applyBorder="1" applyAlignment="1">
      <alignment vertical="center"/>
    </xf>
    <xf numFmtId="2" fontId="34" fillId="6" borderId="2" xfId="0" applyNumberFormat="1" applyFont="1" applyFill="1" applyBorder="1" applyAlignment="1">
      <alignment horizontal="right" vertical="center"/>
    </xf>
    <xf numFmtId="0" fontId="39" fillId="6" borderId="17" xfId="0" applyFont="1" applyFill="1" applyBorder="1" applyAlignment="1">
      <alignment horizontal="right" vertical="center"/>
    </xf>
    <xf numFmtId="0" fontId="34" fillId="3" borderId="16" xfId="0" applyFont="1" applyFill="1" applyBorder="1" applyAlignment="1">
      <alignment horizontal="left" vertical="center"/>
    </xf>
    <xf numFmtId="0" fontId="39" fillId="0" borderId="39" xfId="0" applyFont="1" applyBorder="1" applyAlignment="1">
      <alignment horizontal="left" vertical="center"/>
    </xf>
    <xf numFmtId="49" fontId="43" fillId="4" borderId="27" xfId="2" applyNumberFormat="1" applyFont="1" applyFill="1" applyBorder="1" applyAlignment="1" applyProtection="1">
      <alignment horizontal="center" vertical="center"/>
      <protection locked="0" hidden="1"/>
    </xf>
    <xf numFmtId="49" fontId="43" fillId="4" borderId="10" xfId="2" applyNumberFormat="1" applyFont="1" applyFill="1" applyBorder="1" applyAlignment="1" applyProtection="1">
      <alignment horizontal="center" vertical="center"/>
      <protection locked="0" hidden="1"/>
    </xf>
    <xf numFmtId="49" fontId="43" fillId="4" borderId="21" xfId="2" applyNumberFormat="1" applyFont="1" applyFill="1" applyBorder="1" applyAlignment="1" applyProtection="1">
      <alignment horizontal="center" vertical="center"/>
      <protection locked="0" hidden="1"/>
    </xf>
    <xf numFmtId="49" fontId="43" fillId="4" borderId="40" xfId="2" applyNumberFormat="1" applyFont="1" applyFill="1" applyBorder="1" applyAlignment="1" applyProtection="1">
      <alignment horizontal="center" vertical="center"/>
      <protection locked="0" hidden="1"/>
    </xf>
    <xf numFmtId="49" fontId="43" fillId="4" borderId="7" xfId="2" applyNumberFormat="1" applyFont="1" applyFill="1" applyBorder="1" applyAlignment="1" applyProtection="1">
      <alignment horizontal="center" vertical="center"/>
      <protection locked="0" hidden="1"/>
    </xf>
    <xf numFmtId="49" fontId="43" fillId="4" borderId="6" xfId="2" applyNumberFormat="1" applyFont="1" applyFill="1" applyBorder="1" applyAlignment="1" applyProtection="1">
      <alignment horizontal="center" vertical="center"/>
      <protection locked="0" hidden="1"/>
    </xf>
    <xf numFmtId="0" fontId="34" fillId="6" borderId="10" xfId="0" applyFont="1" applyFill="1" applyBorder="1" applyAlignment="1">
      <alignment horizontal="center" vertical="center"/>
    </xf>
    <xf numFmtId="0" fontId="34" fillId="6" borderId="21" xfId="0" applyFont="1" applyFill="1" applyBorder="1" applyAlignment="1">
      <alignment horizontal="center" vertical="center"/>
    </xf>
    <xf numFmtId="0" fontId="34" fillId="6" borderId="40" xfId="0" applyFont="1" applyFill="1" applyBorder="1" applyAlignment="1">
      <alignment horizontal="center" vertical="center"/>
    </xf>
    <xf numFmtId="0" fontId="34" fillId="6" borderId="7" xfId="0" applyFont="1" applyFill="1" applyBorder="1" applyAlignment="1">
      <alignment horizontal="center" vertical="center"/>
    </xf>
    <xf numFmtId="0" fontId="34" fillId="6" borderId="6" xfId="0" applyFont="1" applyFill="1" applyBorder="1" applyAlignment="1">
      <alignment horizontal="center" vertical="center"/>
    </xf>
    <xf numFmtId="49" fontId="43" fillId="4" borderId="13" xfId="2" applyNumberFormat="1" applyFont="1" applyFill="1" applyBorder="1" applyAlignment="1" applyProtection="1">
      <alignment horizontal="center" vertical="center"/>
      <protection locked="0" hidden="1"/>
    </xf>
    <xf numFmtId="0" fontId="11" fillId="4" borderId="34" xfId="7" applyFont="1" applyFill="1" applyBorder="1" applyAlignment="1">
      <alignment horizontal="center" vertical="center" wrapText="1"/>
    </xf>
    <xf numFmtId="0" fontId="11" fillId="4" borderId="0" xfId="7" applyFont="1" applyFill="1" applyAlignment="1">
      <alignment horizontal="center" vertical="center" wrapText="1"/>
    </xf>
    <xf numFmtId="0" fontId="11" fillId="4" borderId="29" xfId="7" applyFont="1" applyFill="1" applyBorder="1" applyAlignment="1">
      <alignment horizontal="center" vertical="center" wrapText="1"/>
    </xf>
    <xf numFmtId="0" fontId="33" fillId="3" borderId="0" xfId="0" applyFont="1" applyFill="1" applyAlignment="1">
      <alignment horizontal="center" vertical="center"/>
    </xf>
    <xf numFmtId="0" fontId="39" fillId="3" borderId="0" xfId="0" applyFont="1" applyFill="1" applyAlignment="1">
      <alignment horizontal="center" vertical="center"/>
    </xf>
    <xf numFmtId="0" fontId="34" fillId="3" borderId="0" xfId="0" applyFont="1" applyFill="1" applyAlignment="1">
      <alignment horizontal="left" vertical="center" wrapText="1"/>
    </xf>
    <xf numFmtId="0" fontId="39" fillId="0" borderId="0" xfId="0" applyFont="1" applyAlignment="1">
      <alignment horizontal="left" vertical="center" wrapText="1"/>
    </xf>
    <xf numFmtId="0" fontId="42" fillId="4" borderId="41" xfId="0" applyFont="1" applyFill="1" applyBorder="1" applyAlignment="1">
      <alignment horizontal="right" vertical="center"/>
    </xf>
    <xf numFmtId="0" fontId="42" fillId="4" borderId="18" xfId="0" applyFont="1" applyFill="1" applyBorder="1" applyAlignment="1">
      <alignment horizontal="right" vertical="center"/>
    </xf>
    <xf numFmtId="0" fontId="39" fillId="0" borderId="18" xfId="0" applyFont="1" applyBorder="1" applyAlignment="1">
      <alignment vertical="center"/>
    </xf>
    <xf numFmtId="0" fontId="42" fillId="4" borderId="2" xfId="0" applyFont="1" applyFill="1" applyBorder="1" applyAlignment="1">
      <alignment horizontal="right" vertical="center"/>
    </xf>
    <xf numFmtId="0" fontId="34" fillId="6" borderId="33" xfId="0" applyFont="1" applyFill="1" applyBorder="1" applyAlignment="1">
      <alignment horizontal="right" vertical="center"/>
    </xf>
    <xf numFmtId="0" fontId="34" fillId="6" borderId="7" xfId="0" applyFont="1" applyFill="1" applyBorder="1" applyAlignment="1">
      <alignment horizontal="right" vertical="center"/>
    </xf>
    <xf numFmtId="0" fontId="34" fillId="3" borderId="38" xfId="0" applyFont="1" applyFill="1" applyBorder="1" applyAlignment="1">
      <alignment horizontal="left" vertical="center"/>
    </xf>
    <xf numFmtId="0" fontId="39" fillId="0" borderId="16" xfId="0" applyFont="1" applyBorder="1" applyAlignment="1">
      <alignment horizontal="left" vertical="center"/>
    </xf>
    <xf numFmtId="0" fontId="38" fillId="3" borderId="10" xfId="7" applyFont="1" applyFill="1" applyBorder="1" applyAlignment="1">
      <alignment horizontal="right" vertical="center"/>
    </xf>
    <xf numFmtId="0" fontId="39" fillId="3" borderId="10" xfId="0" applyFont="1" applyFill="1" applyBorder="1" applyAlignment="1">
      <alignment vertical="center"/>
    </xf>
    <xf numFmtId="0" fontId="38" fillId="3" borderId="2" xfId="7" applyFont="1" applyFill="1" applyBorder="1" applyAlignment="1">
      <alignment horizontal="right" vertical="center"/>
    </xf>
    <xf numFmtId="0" fontId="39" fillId="3" borderId="2" xfId="0" applyFont="1" applyFill="1" applyBorder="1" applyAlignment="1">
      <alignment vertical="center"/>
    </xf>
    <xf numFmtId="0" fontId="36" fillId="3" borderId="0" xfId="0" applyFont="1" applyFill="1" applyAlignment="1">
      <alignment horizontal="left" vertical="center"/>
    </xf>
    <xf numFmtId="0" fontId="37" fillId="3" borderId="0" xfId="0" applyFont="1" applyFill="1" applyAlignment="1">
      <alignment horizontal="left" vertical="center"/>
    </xf>
    <xf numFmtId="2" fontId="52" fillId="3" borderId="5" xfId="2" applyNumberFormat="1" applyFont="1" applyFill="1" applyBorder="1" applyAlignment="1" applyProtection="1">
      <alignment horizontal="center" vertical="center"/>
      <protection locked="0" hidden="1"/>
    </xf>
    <xf numFmtId="2" fontId="52" fillId="3" borderId="4" xfId="2" applyNumberFormat="1" applyFont="1" applyFill="1" applyBorder="1" applyAlignment="1" applyProtection="1">
      <alignment horizontal="center" vertical="center"/>
      <protection locked="0" hidden="1"/>
    </xf>
    <xf numFmtId="0" fontId="25" fillId="3" borderId="22" xfId="0" applyFont="1" applyFill="1" applyBorder="1" applyAlignment="1">
      <alignment horizontal="center" vertical="center"/>
    </xf>
    <xf numFmtId="0" fontId="25" fillId="3" borderId="0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25" fillId="3" borderId="22" xfId="0" applyFont="1" applyFill="1" applyBorder="1" applyAlignment="1">
      <alignment vertical="center"/>
    </xf>
    <xf numFmtId="0" fontId="0" fillId="3" borderId="0" xfId="0" applyFill="1" applyBorder="1"/>
    <xf numFmtId="0" fontId="6" fillId="4" borderId="6" xfId="1" applyFont="1" applyFill="1" applyBorder="1" applyAlignment="1">
      <alignment horizontal="center" vertical="center"/>
    </xf>
  </cellXfs>
  <cellStyles count="12">
    <cellStyle name="Normal" xfId="0" builtinId="0"/>
    <cellStyle name="Normal 2" xfId="1" xr:uid="{00000000-0005-0000-0000-000001000000}"/>
    <cellStyle name="Normal 2 2" xfId="6" xr:uid="{00000000-0005-0000-0000-000002000000}"/>
    <cellStyle name="Normal 2 3" xfId="4" xr:uid="{00000000-0005-0000-0000-000003000000}"/>
    <cellStyle name="Normal 2 4" xfId="8" xr:uid="{00000000-0005-0000-0000-000004000000}"/>
    <cellStyle name="Normal 3" xfId="3" xr:uid="{00000000-0005-0000-0000-000005000000}"/>
    <cellStyle name="Normal 3 2" xfId="7" xr:uid="{00000000-0005-0000-0000-000006000000}"/>
    <cellStyle name="Normal 3 3" xfId="9" xr:uid="{00000000-0005-0000-0000-000007000000}"/>
    <cellStyle name="Normal 4" xfId="10" xr:uid="{511A38E5-2A04-4EA7-B009-2FD76D486E9B}"/>
    <cellStyle name="Normal 5" xfId="11" xr:uid="{27282BB5-480A-476D-BB35-4EBDE4AE333B}"/>
    <cellStyle name="Normal_02.9134 Estabilizacao" xfId="2" xr:uid="{00000000-0005-0000-0000-000008000000}"/>
    <cellStyle name="Porcentagem 2" xfId="5" xr:uid="{00000000-0005-0000-0000-000009000000}"/>
  </cellStyles>
  <dxfs count="20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132692541497711E-2"/>
          <c:y val="5.980512201734009E-2"/>
          <c:w val="0.81385640827594097"/>
          <c:h val="0.8657225835677018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'RET 8P (PT-BR)'!$E$87</c:f>
              <c:strCache>
                <c:ptCount val="1"/>
                <c:pt idx="0">
                  <c:v>P1</c:v>
                </c:pt>
              </c:strCache>
            </c:strRef>
          </c:tx>
          <c:xVal>
            <c:numRef>
              <c:f>'RET 8P (PT-BR)'!$D$88:$D$208</c:f>
              <c:numCache>
                <c:formatCode>0</c:formatCode>
                <c:ptCount val="1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</c:numCache>
            </c:numRef>
          </c:xVal>
          <c:yVal>
            <c:numRef>
              <c:f>'RET 8P (PT-BR)'!$E$88:$E$208</c:f>
              <c:numCache>
                <c:formatCode>0.00</c:formatCode>
                <c:ptCount val="1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57-4C5F-846B-83B424B59685}"/>
            </c:ext>
          </c:extLst>
        </c:ser>
        <c:ser>
          <c:idx val="2"/>
          <c:order val="1"/>
          <c:tx>
            <c:strRef>
              <c:f>'RET 8P (PT-BR)'!$F$87</c:f>
              <c:strCache>
                <c:ptCount val="1"/>
                <c:pt idx="0">
                  <c:v>P2</c:v>
                </c:pt>
              </c:strCache>
            </c:strRef>
          </c:tx>
          <c:xVal>
            <c:numRef>
              <c:f>'RET 8P (PT-BR)'!$D$88:$D$208</c:f>
              <c:numCache>
                <c:formatCode>0</c:formatCode>
                <c:ptCount val="1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</c:numCache>
            </c:numRef>
          </c:xVal>
          <c:yVal>
            <c:numRef>
              <c:f>'RET 8P (PT-BR)'!$F$88:$F$208</c:f>
              <c:numCache>
                <c:formatCode>0.00</c:formatCode>
                <c:ptCount val="1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57-4C5F-846B-83B424B59685}"/>
            </c:ext>
          </c:extLst>
        </c:ser>
        <c:ser>
          <c:idx val="3"/>
          <c:order val="2"/>
          <c:tx>
            <c:strRef>
              <c:f>'RET 8P (PT-BR)'!$G$87</c:f>
              <c:strCache>
                <c:ptCount val="1"/>
                <c:pt idx="0">
                  <c:v>P3</c:v>
                </c:pt>
              </c:strCache>
            </c:strRef>
          </c:tx>
          <c:xVal>
            <c:numRef>
              <c:f>'RET 8P (PT-BR)'!$D$88:$D$208</c:f>
              <c:numCache>
                <c:formatCode>0</c:formatCode>
                <c:ptCount val="1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</c:numCache>
            </c:numRef>
          </c:xVal>
          <c:yVal>
            <c:numRef>
              <c:f>'RET 8P (PT-BR)'!$G$88:$G$208</c:f>
              <c:numCache>
                <c:formatCode>0.00</c:formatCode>
                <c:ptCount val="1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57-4C5F-846B-83B424B59685}"/>
            </c:ext>
          </c:extLst>
        </c:ser>
        <c:ser>
          <c:idx val="4"/>
          <c:order val="3"/>
          <c:tx>
            <c:strRef>
              <c:f>'RET 8P (PT-BR)'!$H$87</c:f>
              <c:strCache>
                <c:ptCount val="1"/>
                <c:pt idx="0">
                  <c:v>P4</c:v>
                </c:pt>
              </c:strCache>
            </c:strRef>
          </c:tx>
          <c:xVal>
            <c:numRef>
              <c:f>'RET 8P (PT-BR)'!$D$88:$D$208</c:f>
              <c:numCache>
                <c:formatCode>0</c:formatCode>
                <c:ptCount val="1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</c:numCache>
            </c:numRef>
          </c:xVal>
          <c:yVal>
            <c:numRef>
              <c:f>'RET 8P (PT-BR)'!$H$88:$H$208</c:f>
              <c:numCache>
                <c:formatCode>0.00</c:formatCode>
                <c:ptCount val="1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957-4C5F-846B-83B424B59685}"/>
            </c:ext>
          </c:extLst>
        </c:ser>
        <c:ser>
          <c:idx val="5"/>
          <c:order val="4"/>
          <c:tx>
            <c:strRef>
              <c:f>'RET 8P (PT-BR)'!$I$87</c:f>
              <c:strCache>
                <c:ptCount val="1"/>
                <c:pt idx="0">
                  <c:v>P5</c:v>
                </c:pt>
              </c:strCache>
            </c:strRef>
          </c:tx>
          <c:xVal>
            <c:numRef>
              <c:f>'RET 8P (PT-BR)'!$D$88:$D$208</c:f>
              <c:numCache>
                <c:formatCode>0</c:formatCode>
                <c:ptCount val="1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</c:numCache>
            </c:numRef>
          </c:xVal>
          <c:yVal>
            <c:numRef>
              <c:f>'RET 8P (PT-BR)'!$I$88:$I$208</c:f>
              <c:numCache>
                <c:formatCode>0.00</c:formatCode>
                <c:ptCount val="1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957-4C5F-846B-83B424B59685}"/>
            </c:ext>
          </c:extLst>
        </c:ser>
        <c:ser>
          <c:idx val="6"/>
          <c:order val="5"/>
          <c:tx>
            <c:strRef>
              <c:f>'RET 8P (PT-BR)'!$J$87</c:f>
              <c:strCache>
                <c:ptCount val="1"/>
                <c:pt idx="0">
                  <c:v>A1</c:v>
                </c:pt>
              </c:strCache>
            </c:strRef>
          </c:tx>
          <c:xVal>
            <c:numRef>
              <c:f>'RET 8P (PT-BR)'!$D$88:$D$208</c:f>
              <c:numCache>
                <c:formatCode>0</c:formatCode>
                <c:ptCount val="1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</c:numCache>
            </c:numRef>
          </c:xVal>
          <c:yVal>
            <c:numRef>
              <c:f>'RET 8P (PT-BR)'!$J$88:$J$208</c:f>
              <c:numCache>
                <c:formatCode>0.00</c:formatCode>
                <c:ptCount val="1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957-4C5F-846B-83B424B59685}"/>
            </c:ext>
          </c:extLst>
        </c:ser>
        <c:ser>
          <c:idx val="7"/>
          <c:order val="6"/>
          <c:tx>
            <c:strRef>
              <c:f>'RET 8P (PT-BR)'!$K$87</c:f>
              <c:strCache>
                <c:ptCount val="1"/>
                <c:pt idx="0">
                  <c:v>A2</c:v>
                </c:pt>
              </c:strCache>
            </c:strRef>
          </c:tx>
          <c:xVal>
            <c:numRef>
              <c:f>'RET 8P (PT-BR)'!$D$88:$D$208</c:f>
              <c:numCache>
                <c:formatCode>0</c:formatCode>
                <c:ptCount val="1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</c:numCache>
            </c:numRef>
          </c:xVal>
          <c:yVal>
            <c:numRef>
              <c:f>'RET 8P (PT-BR)'!$K$88:$K$208</c:f>
              <c:numCache>
                <c:formatCode>0.00</c:formatCode>
                <c:ptCount val="1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957-4C5F-846B-83B424B59685}"/>
            </c:ext>
          </c:extLst>
        </c:ser>
        <c:ser>
          <c:idx val="8"/>
          <c:order val="7"/>
          <c:tx>
            <c:strRef>
              <c:f>'RET 8P (PT-BR)'!$L$87</c:f>
              <c:strCache>
                <c:ptCount val="1"/>
                <c:pt idx="0">
                  <c:v>A3</c:v>
                </c:pt>
              </c:strCache>
            </c:strRef>
          </c:tx>
          <c:xVal>
            <c:numRef>
              <c:f>'RET 8P (PT-BR)'!$D$88:$D$208</c:f>
              <c:numCache>
                <c:formatCode>0</c:formatCode>
                <c:ptCount val="1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</c:numCache>
            </c:numRef>
          </c:xVal>
          <c:yVal>
            <c:numRef>
              <c:f>'RET 8P (PT-BR)'!$L$88:$L$208</c:f>
              <c:numCache>
                <c:formatCode>0.00</c:formatCode>
                <c:ptCount val="1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957-4C5F-846B-83B424B59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47968"/>
        <c:axId val="78557952"/>
      </c:scatterChart>
      <c:valAx>
        <c:axId val="78547968"/>
        <c:scaling>
          <c:orientation val="minMax"/>
          <c:max val="370"/>
          <c:min val="0"/>
        </c:scaling>
        <c:delete val="0"/>
        <c:axPos val="b"/>
        <c:numFmt formatCode="0" sourceLinked="1"/>
        <c:majorTickMark val="out"/>
        <c:minorTickMark val="none"/>
        <c:tickLblPos val="nextTo"/>
        <c:crossAx val="78557952"/>
        <c:crosses val="autoZero"/>
        <c:crossBetween val="midCat"/>
        <c:majorUnit val="30"/>
      </c:valAx>
      <c:valAx>
        <c:axId val="78557952"/>
        <c:scaling>
          <c:orientation val="minMax"/>
          <c:min val="15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8547968"/>
        <c:crossesAt val="1"/>
        <c:crossBetween val="midCat"/>
      </c:valAx>
    </c:plotArea>
    <c:legend>
      <c:legendPos val="r"/>
      <c:layout>
        <c:manualLayout>
          <c:xMode val="edge"/>
          <c:yMode val="edge"/>
          <c:x val="0.8958224961698793"/>
          <c:y val="0.10508012585383349"/>
          <c:w val="5.9589574664034216E-2"/>
          <c:h val="0.56211105250339921"/>
        </c:manualLayout>
      </c:layout>
      <c:overlay val="0"/>
    </c:legend>
    <c:plotVisOnly val="1"/>
    <c:dispBlanksAs val="gap"/>
    <c:showDLblsOverMax val="0"/>
  </c:chart>
  <c:spPr>
    <a:solidFill>
      <a:schemeClr val="accent3"/>
    </a:solidFill>
    <a:ln w="38100" cap="flat" cmpd="sng" algn="ctr">
      <a:solidFill>
        <a:schemeClr val="lt1"/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887510028988309E-2"/>
          <c:y val="3.2352662471921742E-2"/>
          <c:w val="0.69994653894069692"/>
          <c:h val="0.80832773611929187"/>
        </c:manualLayout>
      </c:layout>
      <c:scatterChart>
        <c:scatterStyle val="lineMarker"/>
        <c:varyColors val="0"/>
        <c:ser>
          <c:idx val="0"/>
          <c:order val="0"/>
          <c:tx>
            <c:v>tempo</c:v>
          </c:tx>
          <c:spPr>
            <a:ln w="28575">
              <a:noFill/>
            </a:ln>
          </c:spPr>
          <c:xVal>
            <c:numRef>
              <c:f>'RET 8P (PT-BR)'!$H$236:$H$244</c:f>
              <c:numCache>
                <c:formatCode>0</c:formatCode>
                <c:ptCount val="9"/>
                <c:pt idx="0">
                  <c:v>97.000000000000014</c:v>
                </c:pt>
                <c:pt idx="1">
                  <c:v>105</c:v>
                </c:pt>
                <c:pt idx="2">
                  <c:v>115</c:v>
                </c:pt>
                <c:pt idx="3">
                  <c:v>119</c:v>
                </c:pt>
                <c:pt idx="4">
                  <c:v>122</c:v>
                </c:pt>
                <c:pt idx="5">
                  <c:v>126</c:v>
                </c:pt>
                <c:pt idx="6">
                  <c:v>131</c:v>
                </c:pt>
                <c:pt idx="7">
                  <c:v>135</c:v>
                </c:pt>
                <c:pt idx="8">
                  <c:v>138</c:v>
                </c:pt>
              </c:numCache>
            </c:numRef>
          </c:xVal>
          <c:yVal>
            <c:numRef>
              <c:f>'RET 8P (PT-BR)'!$I$236:$I$244</c:f>
              <c:numCache>
                <c:formatCode>General</c:formatCode>
                <c:ptCount val="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14-4002-8DFE-FEC8C17A9851}"/>
            </c:ext>
          </c:extLst>
        </c:ser>
        <c:ser>
          <c:idx val="1"/>
          <c:order val="1"/>
          <c:spPr>
            <a:ln w="28575">
              <a:noFill/>
            </a:ln>
          </c:spPr>
          <c:trendline>
            <c:trendlineType val="exp"/>
            <c:dispRSqr val="0"/>
            <c:dispEq val="1"/>
            <c:trendlineLbl>
              <c:layout>
                <c:manualLayout>
                  <c:x val="-0.44770589167391406"/>
                  <c:y val="-0.18340907920911009"/>
                </c:manualLayout>
              </c:layout>
              <c:numFmt formatCode="General" sourceLinked="0"/>
              <c:spPr>
                <a:noFill/>
              </c:spPr>
            </c:trendlineLbl>
          </c:trendline>
          <c:xVal>
            <c:numRef>
              <c:f>'RET 8P (PT-BR)'!$H$236:$H$250</c:f>
              <c:numCache>
                <c:formatCode>0</c:formatCode>
                <c:ptCount val="15"/>
                <c:pt idx="0">
                  <c:v>97.000000000000014</c:v>
                </c:pt>
                <c:pt idx="1">
                  <c:v>105</c:v>
                </c:pt>
                <c:pt idx="2">
                  <c:v>115</c:v>
                </c:pt>
                <c:pt idx="3">
                  <c:v>119</c:v>
                </c:pt>
                <c:pt idx="4">
                  <c:v>122</c:v>
                </c:pt>
                <c:pt idx="5">
                  <c:v>126</c:v>
                </c:pt>
                <c:pt idx="6">
                  <c:v>131</c:v>
                </c:pt>
                <c:pt idx="7">
                  <c:v>135</c:v>
                </c:pt>
                <c:pt idx="8">
                  <c:v>138</c:v>
                </c:pt>
                <c:pt idx="9">
                  <c:v>142.00000000000003</c:v>
                </c:pt>
                <c:pt idx="10">
                  <c:v>147</c:v>
                </c:pt>
                <c:pt idx="11">
                  <c:v>149.99999999999997</c:v>
                </c:pt>
                <c:pt idx="12">
                  <c:v>154</c:v>
                </c:pt>
                <c:pt idx="13">
                  <c:v>159</c:v>
                </c:pt>
                <c:pt idx="14">
                  <c:v>163</c:v>
                </c:pt>
              </c:numCache>
            </c:numRef>
          </c:xVal>
          <c:yVal>
            <c:numRef>
              <c:f>'RET 8P (PT-BR)'!$J$236:$J$250</c:f>
              <c:numCache>
                <c:formatCode>0.000</c:formatCode>
                <c:ptCount val="15"/>
                <c:pt idx="0">
                  <c:v>4357</c:v>
                </c:pt>
                <c:pt idx="1">
                  <c:v>4350</c:v>
                </c:pt>
                <c:pt idx="2">
                  <c:v>4345</c:v>
                </c:pt>
                <c:pt idx="3">
                  <c:v>4343</c:v>
                </c:pt>
                <c:pt idx="4">
                  <c:v>4341</c:v>
                </c:pt>
                <c:pt idx="5">
                  <c:v>4339</c:v>
                </c:pt>
                <c:pt idx="6">
                  <c:v>4337</c:v>
                </c:pt>
                <c:pt idx="7">
                  <c:v>4335</c:v>
                </c:pt>
                <c:pt idx="8">
                  <c:v>4333</c:v>
                </c:pt>
                <c:pt idx="9">
                  <c:v>4331</c:v>
                </c:pt>
                <c:pt idx="10">
                  <c:v>4329</c:v>
                </c:pt>
                <c:pt idx="11">
                  <c:v>4327</c:v>
                </c:pt>
                <c:pt idx="12">
                  <c:v>4325</c:v>
                </c:pt>
                <c:pt idx="13">
                  <c:v>4323</c:v>
                </c:pt>
                <c:pt idx="14">
                  <c:v>4321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914-4002-8DFE-FEC8C17A9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96384"/>
        <c:axId val="72102272"/>
      </c:scatterChart>
      <c:valAx>
        <c:axId val="72096384"/>
        <c:scaling>
          <c:orientation val="minMax"/>
          <c:max val="240"/>
          <c:min val="100"/>
        </c:scaling>
        <c:delete val="0"/>
        <c:axPos val="b"/>
        <c:numFmt formatCode="0" sourceLinked="1"/>
        <c:majorTickMark val="out"/>
        <c:minorTickMark val="none"/>
        <c:tickLblPos val="nextTo"/>
        <c:crossAx val="72102272"/>
        <c:crosses val="autoZero"/>
        <c:crossBetween val="midCat"/>
      </c:valAx>
      <c:valAx>
        <c:axId val="72102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0963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3"/>
    </a:solidFill>
  </c:sp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'RET 8P (PT-BR)'!$Q$4</c:f>
              <c:strCache>
                <c:ptCount val="1"/>
                <c:pt idx="0">
                  <c:v>P1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'RET 8P (PT-BR)'!$P$5:$P$24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'RET 8P (PT-BR)'!$Q$5:$Q$24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0D-41D5-98E2-B482213D3A38}"/>
            </c:ext>
          </c:extLst>
        </c:ser>
        <c:ser>
          <c:idx val="1"/>
          <c:order val="1"/>
          <c:tx>
            <c:strRef>
              <c:f>'RET 8P (PT-BR)'!$R$4</c:f>
              <c:strCache>
                <c:ptCount val="1"/>
                <c:pt idx="0">
                  <c:v>P2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'RET 8P (PT-BR)'!$P$5:$P$24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'RET 8P (PT-BR)'!$R$5:$R$24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0D-41D5-98E2-B482213D3A38}"/>
            </c:ext>
          </c:extLst>
        </c:ser>
        <c:ser>
          <c:idx val="2"/>
          <c:order val="2"/>
          <c:tx>
            <c:strRef>
              <c:f>'RET 8P (PT-BR)'!$S$4</c:f>
              <c:strCache>
                <c:ptCount val="1"/>
                <c:pt idx="0">
                  <c:v>P3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'RET 8P (PT-BR)'!$P$5:$P$24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'RET 8P (PT-BR)'!$S$5:$S$24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0D-41D5-98E2-B482213D3A38}"/>
            </c:ext>
          </c:extLst>
        </c:ser>
        <c:ser>
          <c:idx val="3"/>
          <c:order val="3"/>
          <c:tx>
            <c:strRef>
              <c:f>'RET 8P (PT-BR)'!$T$4</c:f>
              <c:strCache>
                <c:ptCount val="1"/>
                <c:pt idx="0">
                  <c:v>P4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'RET 8P (PT-BR)'!$P$5:$P$24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'RET 8P (PT-BR)'!$T$5:$T$24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0D-41D5-98E2-B482213D3A38}"/>
            </c:ext>
          </c:extLst>
        </c:ser>
        <c:ser>
          <c:idx val="4"/>
          <c:order val="4"/>
          <c:tx>
            <c:strRef>
              <c:f>'RET 8P (PT-BR)'!$U$4</c:f>
              <c:strCache>
                <c:ptCount val="1"/>
                <c:pt idx="0">
                  <c:v>P5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'RET 8P (PT-BR)'!$P$5:$P$24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'RET 8P (PT-BR)'!$U$5:$U$24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0D-41D5-98E2-B482213D3A38}"/>
            </c:ext>
          </c:extLst>
        </c:ser>
        <c:ser>
          <c:idx val="8"/>
          <c:order val="8"/>
          <c:tx>
            <c:strRef>
              <c:f>'RET 8P (PT-BR)'!$V$4</c:f>
              <c:strCache>
                <c:ptCount val="1"/>
                <c:pt idx="0">
                  <c:v>A1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'RET 8P (PT-BR)'!$P$5:$P$24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'RET 8P (PT-BR)'!$V$5:$V$24</c:f>
              <c:numCache>
                <c:formatCode>0.00</c:formatCode>
                <c:ptCount val="2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5C-495F-A4DA-3CDF02298ADF}"/>
            </c:ext>
          </c:extLst>
        </c:ser>
        <c:ser>
          <c:idx val="9"/>
          <c:order val="9"/>
          <c:tx>
            <c:strRef>
              <c:f>'RET 8P (PT-BR)'!$W$4</c:f>
              <c:strCache>
                <c:ptCount val="1"/>
                <c:pt idx="0">
                  <c:v>A2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'RET 8P (PT-BR)'!$P$5:$P$24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'RET 8P (PT-BR)'!$W$5:$W$24</c:f>
              <c:numCache>
                <c:formatCode>0.00</c:formatCode>
                <c:ptCount val="2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5C-495F-A4DA-3CDF02298ADF}"/>
            </c:ext>
          </c:extLst>
        </c:ser>
        <c:ser>
          <c:idx val="10"/>
          <c:order val="10"/>
          <c:tx>
            <c:strRef>
              <c:f>'RET 8P (PT-BR)'!$X$4</c:f>
              <c:strCache>
                <c:ptCount val="1"/>
                <c:pt idx="0">
                  <c:v>A3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'RET 8P (PT-BR)'!$P$5:$P$24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'RET 8P (PT-BR)'!$X$5:$X$24</c:f>
              <c:numCache>
                <c:formatCode>0.00</c:formatCode>
                <c:ptCount val="2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5C-495F-A4DA-3CDF02298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26720"/>
        <c:axId val="80128640"/>
        <c:extLst>
          <c:ext xmlns:c15="http://schemas.microsoft.com/office/drawing/2012/chart" uri="{02D57815-91ED-43cb-92C2-25804820EDAC}">
            <c15:filteredLine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Plan1!#REF!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'RET 8P (PT-BR)'!$P$5:$P$24</c15:sqref>
                        </c15:formulaRef>
                      </c:ext>
                    </c:extLst>
                    <c:strCache>
                      <c:ptCount val="20"/>
                      <c:pt idx="0">
                        <c:v>0-30</c:v>
                      </c:pt>
                      <c:pt idx="1">
                        <c:v>30-60</c:v>
                      </c:pt>
                      <c:pt idx="2">
                        <c:v>60-90</c:v>
                      </c:pt>
                      <c:pt idx="3">
                        <c:v>90-120</c:v>
                      </c:pt>
                      <c:pt idx="4">
                        <c:v>120-150</c:v>
                      </c:pt>
                      <c:pt idx="5">
                        <c:v>150-180</c:v>
                      </c:pt>
                      <c:pt idx="6">
                        <c:v>180-210</c:v>
                      </c:pt>
                      <c:pt idx="7">
                        <c:v>210-240</c:v>
                      </c:pt>
                      <c:pt idx="8">
                        <c:v>240-270</c:v>
                      </c:pt>
                      <c:pt idx="9">
                        <c:v>270-300</c:v>
                      </c:pt>
                      <c:pt idx="10">
                        <c:v>300-330</c:v>
                      </c:pt>
                      <c:pt idx="11">
                        <c:v>330-360</c:v>
                      </c:pt>
                      <c:pt idx="12">
                        <c:v>360-390</c:v>
                      </c:pt>
                      <c:pt idx="13">
                        <c:v>390-420</c:v>
                      </c:pt>
                      <c:pt idx="14">
                        <c:v>420-450</c:v>
                      </c:pt>
                      <c:pt idx="15">
                        <c:v>450-480</c:v>
                      </c:pt>
                      <c:pt idx="16">
                        <c:v>480-510</c:v>
                      </c:pt>
                      <c:pt idx="17">
                        <c:v>510-540</c:v>
                      </c:pt>
                      <c:pt idx="18">
                        <c:v>540-570</c:v>
                      </c:pt>
                      <c:pt idx="19">
                        <c:v>570-600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Plan1!#REF!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320D-41D5-98E2-B482213D3A38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Plan1!#REF!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'RET 8P (PT-BR)'!$P$5:$P$24</c15:sqref>
                        </c15:formulaRef>
                      </c:ext>
                    </c:extLst>
                    <c:strCache>
                      <c:ptCount val="20"/>
                      <c:pt idx="0">
                        <c:v>0-30</c:v>
                      </c:pt>
                      <c:pt idx="1">
                        <c:v>30-60</c:v>
                      </c:pt>
                      <c:pt idx="2">
                        <c:v>60-90</c:v>
                      </c:pt>
                      <c:pt idx="3">
                        <c:v>90-120</c:v>
                      </c:pt>
                      <c:pt idx="4">
                        <c:v>120-150</c:v>
                      </c:pt>
                      <c:pt idx="5">
                        <c:v>150-180</c:v>
                      </c:pt>
                      <c:pt idx="6">
                        <c:v>180-210</c:v>
                      </c:pt>
                      <c:pt idx="7">
                        <c:v>210-240</c:v>
                      </c:pt>
                      <c:pt idx="8">
                        <c:v>240-270</c:v>
                      </c:pt>
                      <c:pt idx="9">
                        <c:v>270-300</c:v>
                      </c:pt>
                      <c:pt idx="10">
                        <c:v>300-330</c:v>
                      </c:pt>
                      <c:pt idx="11">
                        <c:v>330-360</c:v>
                      </c:pt>
                      <c:pt idx="12">
                        <c:v>360-390</c:v>
                      </c:pt>
                      <c:pt idx="13">
                        <c:v>390-420</c:v>
                      </c:pt>
                      <c:pt idx="14">
                        <c:v>420-450</c:v>
                      </c:pt>
                      <c:pt idx="15">
                        <c:v>450-480</c:v>
                      </c:pt>
                      <c:pt idx="16">
                        <c:v>480-510</c:v>
                      </c:pt>
                      <c:pt idx="17">
                        <c:v>510-540</c:v>
                      </c:pt>
                      <c:pt idx="18">
                        <c:v>540-570</c:v>
                      </c:pt>
                      <c:pt idx="19">
                        <c:v>570-600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Plan1!#REF!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20D-41D5-98E2-B482213D3A38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Plan1!#REF!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'RET 8P (PT-BR)'!$P$5:$P$24</c15:sqref>
                        </c15:formulaRef>
                      </c:ext>
                    </c:extLst>
                    <c:strCache>
                      <c:ptCount val="20"/>
                      <c:pt idx="0">
                        <c:v>0-30</c:v>
                      </c:pt>
                      <c:pt idx="1">
                        <c:v>30-60</c:v>
                      </c:pt>
                      <c:pt idx="2">
                        <c:v>60-90</c:v>
                      </c:pt>
                      <c:pt idx="3">
                        <c:v>90-120</c:v>
                      </c:pt>
                      <c:pt idx="4">
                        <c:v>120-150</c:v>
                      </c:pt>
                      <c:pt idx="5">
                        <c:v>150-180</c:v>
                      </c:pt>
                      <c:pt idx="6">
                        <c:v>180-210</c:v>
                      </c:pt>
                      <c:pt idx="7">
                        <c:v>210-240</c:v>
                      </c:pt>
                      <c:pt idx="8">
                        <c:v>240-270</c:v>
                      </c:pt>
                      <c:pt idx="9">
                        <c:v>270-300</c:v>
                      </c:pt>
                      <c:pt idx="10">
                        <c:v>300-330</c:v>
                      </c:pt>
                      <c:pt idx="11">
                        <c:v>330-360</c:v>
                      </c:pt>
                      <c:pt idx="12">
                        <c:v>360-390</c:v>
                      </c:pt>
                      <c:pt idx="13">
                        <c:v>390-420</c:v>
                      </c:pt>
                      <c:pt idx="14">
                        <c:v>420-450</c:v>
                      </c:pt>
                      <c:pt idx="15">
                        <c:v>450-480</c:v>
                      </c:pt>
                      <c:pt idx="16">
                        <c:v>480-510</c:v>
                      </c:pt>
                      <c:pt idx="17">
                        <c:v>510-540</c:v>
                      </c:pt>
                      <c:pt idx="18">
                        <c:v>540-570</c:v>
                      </c:pt>
                      <c:pt idx="19">
                        <c:v>570-600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Plan1!#REF!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20D-41D5-98E2-B482213D3A38}"/>
                  </c:ext>
                </c:extLst>
              </c15:ser>
            </c15:filteredLineSeries>
          </c:ext>
        </c:extLst>
      </c:lineChart>
      <c:catAx>
        <c:axId val="8012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128640"/>
        <c:crosses val="autoZero"/>
        <c:auto val="1"/>
        <c:lblAlgn val="ctr"/>
        <c:lblOffset val="100"/>
        <c:noMultiLvlLbl val="0"/>
      </c:catAx>
      <c:valAx>
        <c:axId val="8012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126720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lt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'RET 8P (PT-BR)'!$Q$56</c:f>
              <c:strCache>
                <c:ptCount val="1"/>
                <c:pt idx="0">
                  <c:v>P1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'RET 8P (PT-BR)'!$P$57:$P$66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'RET 8P (PT-BR)'!$Q$57:$Q$66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AF6-48DB-BB85-6F1F5D84A776}"/>
            </c:ext>
          </c:extLst>
        </c:ser>
        <c:ser>
          <c:idx val="1"/>
          <c:order val="1"/>
          <c:tx>
            <c:strRef>
              <c:f>'RET 8P (PT-BR)'!$R$56</c:f>
              <c:strCache>
                <c:ptCount val="1"/>
                <c:pt idx="0">
                  <c:v>P2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'RET 8P (PT-BR)'!$P$57:$P$66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'RET 8P (PT-BR)'!$R$57:$R$66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AF6-48DB-BB85-6F1F5D84A776}"/>
            </c:ext>
          </c:extLst>
        </c:ser>
        <c:ser>
          <c:idx val="2"/>
          <c:order val="2"/>
          <c:tx>
            <c:strRef>
              <c:f>'RET 8P (PT-BR)'!$S$56</c:f>
              <c:strCache>
                <c:ptCount val="1"/>
                <c:pt idx="0">
                  <c:v>P3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'RET 8P (PT-BR)'!$P$57:$P$66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'RET 8P (PT-BR)'!$S$57:$S$66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AF6-48DB-BB85-6F1F5D84A776}"/>
            </c:ext>
          </c:extLst>
        </c:ser>
        <c:ser>
          <c:idx val="3"/>
          <c:order val="3"/>
          <c:tx>
            <c:strRef>
              <c:f>'RET 8P (PT-BR)'!$T$56</c:f>
              <c:strCache>
                <c:ptCount val="1"/>
                <c:pt idx="0">
                  <c:v>P4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'RET 8P (PT-BR)'!$P$57:$P$66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'RET 8P (PT-BR)'!$T$57:$T$66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AF6-48DB-BB85-6F1F5D84A776}"/>
            </c:ext>
          </c:extLst>
        </c:ser>
        <c:ser>
          <c:idx val="4"/>
          <c:order val="4"/>
          <c:tx>
            <c:strRef>
              <c:f>'RET 8P (PT-BR)'!$U$56</c:f>
              <c:strCache>
                <c:ptCount val="1"/>
                <c:pt idx="0">
                  <c:v>P5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'RET 8P (PT-BR)'!$P$57:$P$66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'RET 8P (PT-BR)'!$U$57:$U$66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AF6-48DB-BB85-6F1F5D84A776}"/>
            </c:ext>
          </c:extLst>
        </c:ser>
        <c:ser>
          <c:idx val="5"/>
          <c:order val="5"/>
          <c:tx>
            <c:strRef>
              <c:f>'RET 8P (PT-BR)'!$V$56</c:f>
              <c:strCache>
                <c:ptCount val="1"/>
                <c:pt idx="0">
                  <c:v>A1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'RET 8P (PT-BR)'!$P$57:$P$66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'RET 8P (PT-BR)'!$V$57:$V$66</c:f>
              <c:numCache>
                <c:formatCode>0.00</c:formatCode>
                <c:ptCount val="1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AF6-48DB-BB85-6F1F5D84A776}"/>
            </c:ext>
          </c:extLst>
        </c:ser>
        <c:ser>
          <c:idx val="6"/>
          <c:order val="6"/>
          <c:tx>
            <c:strRef>
              <c:f>'RET 8P (PT-BR)'!$W$56</c:f>
              <c:strCache>
                <c:ptCount val="1"/>
                <c:pt idx="0">
                  <c:v>A2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'RET 8P (PT-BR)'!$P$57:$P$66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'RET 8P (PT-BR)'!$W$57:$W$66</c:f>
              <c:numCache>
                <c:formatCode>0.00</c:formatCode>
                <c:ptCount val="1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AF6-48DB-BB85-6F1F5D84A776}"/>
            </c:ext>
          </c:extLst>
        </c:ser>
        <c:ser>
          <c:idx val="7"/>
          <c:order val="7"/>
          <c:tx>
            <c:strRef>
              <c:f>'RET 8P (PT-BR)'!$X$56</c:f>
              <c:strCache>
                <c:ptCount val="1"/>
                <c:pt idx="0">
                  <c:v>A3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'RET 8P (PT-BR)'!$P$57:$P$66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'RET 8P (PT-BR)'!$X$57:$X$66</c:f>
              <c:numCache>
                <c:formatCode>0.00</c:formatCode>
                <c:ptCount val="1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AF6-48DB-BB85-6F1F5D84A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26720"/>
        <c:axId val="80128640"/>
      </c:lineChart>
      <c:catAx>
        <c:axId val="8012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128640"/>
        <c:crosses val="autoZero"/>
        <c:auto val="1"/>
        <c:lblAlgn val="ctr"/>
        <c:lblOffset val="100"/>
        <c:noMultiLvlLbl val="0"/>
      </c:catAx>
      <c:valAx>
        <c:axId val="8012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126720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lt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887510028988309E-2"/>
          <c:y val="3.2352662471921742E-2"/>
          <c:w val="0.69994653894069692"/>
          <c:h val="0.80832773611929187"/>
        </c:manualLayout>
      </c:layout>
      <c:scatterChart>
        <c:scatterStyle val="lineMarker"/>
        <c:varyColors val="0"/>
        <c:ser>
          <c:idx val="0"/>
          <c:order val="0"/>
          <c:tx>
            <c:v>tempo</c:v>
          </c:tx>
          <c:spPr>
            <a:ln w="28575">
              <a:noFill/>
            </a:ln>
          </c:spPr>
          <c:xVal>
            <c:numRef>
              <c:f>'RET 16P (PT-BR)'!$K$236:$K$244</c:f>
              <c:numCache>
                <c:formatCode>0</c:formatCode>
                <c:ptCount val="9"/>
                <c:pt idx="0">
                  <c:v>109</c:v>
                </c:pt>
                <c:pt idx="1">
                  <c:v>117</c:v>
                </c:pt>
                <c:pt idx="2">
                  <c:v>124</c:v>
                </c:pt>
                <c:pt idx="3">
                  <c:v>134</c:v>
                </c:pt>
                <c:pt idx="4">
                  <c:v>142.00000000000003</c:v>
                </c:pt>
                <c:pt idx="5">
                  <c:v>149</c:v>
                </c:pt>
                <c:pt idx="6">
                  <c:v>158</c:v>
                </c:pt>
                <c:pt idx="7">
                  <c:v>166</c:v>
                </c:pt>
                <c:pt idx="8">
                  <c:v>177</c:v>
                </c:pt>
              </c:numCache>
            </c:numRef>
          </c:xVal>
          <c:yVal>
            <c:numRef>
              <c:f>'RET 16P (PT-BR)'!$L$236:$L$244</c:f>
              <c:numCache>
                <c:formatCode>0</c:formatCode>
                <c:ptCount val="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46-4FF9-9781-FE6D19AD1B1E}"/>
            </c:ext>
          </c:extLst>
        </c:ser>
        <c:ser>
          <c:idx val="1"/>
          <c:order val="1"/>
          <c:spPr>
            <a:ln w="28575">
              <a:noFill/>
            </a:ln>
          </c:spPr>
          <c:trendline>
            <c:trendlineType val="exp"/>
            <c:dispRSqr val="0"/>
            <c:dispEq val="1"/>
            <c:trendlineLbl>
              <c:layout>
                <c:manualLayout>
                  <c:x val="-0.44770589167391406"/>
                  <c:y val="-0.18340907920911009"/>
                </c:manualLayout>
              </c:layout>
              <c:numFmt formatCode="General" sourceLinked="0"/>
              <c:spPr>
                <a:noFill/>
              </c:spPr>
            </c:trendlineLbl>
          </c:trendline>
          <c:xVal>
            <c:numRef>
              <c:f>'RET 16P (PT-BR)'!$K$236:$K$250</c:f>
              <c:numCache>
                <c:formatCode>0</c:formatCode>
                <c:ptCount val="15"/>
                <c:pt idx="0">
                  <c:v>109</c:v>
                </c:pt>
                <c:pt idx="1">
                  <c:v>117</c:v>
                </c:pt>
                <c:pt idx="2">
                  <c:v>124</c:v>
                </c:pt>
                <c:pt idx="3">
                  <c:v>134</c:v>
                </c:pt>
                <c:pt idx="4">
                  <c:v>142.00000000000003</c:v>
                </c:pt>
                <c:pt idx="5">
                  <c:v>149</c:v>
                </c:pt>
                <c:pt idx="6">
                  <c:v>158</c:v>
                </c:pt>
                <c:pt idx="7">
                  <c:v>166</c:v>
                </c:pt>
                <c:pt idx="8">
                  <c:v>177</c:v>
                </c:pt>
                <c:pt idx="9">
                  <c:v>189</c:v>
                </c:pt>
                <c:pt idx="10">
                  <c:v>194</c:v>
                </c:pt>
                <c:pt idx="11">
                  <c:v>204.00000000000003</c:v>
                </c:pt>
                <c:pt idx="12">
                  <c:v>213</c:v>
                </c:pt>
                <c:pt idx="13">
                  <c:v>222</c:v>
                </c:pt>
                <c:pt idx="14">
                  <c:v>230.99999999999997</c:v>
                </c:pt>
              </c:numCache>
            </c:numRef>
          </c:xVal>
          <c:yVal>
            <c:numRef>
              <c:f>'RET 16P (PT-BR)'!$N$236:$N$250</c:f>
              <c:numCache>
                <c:formatCode>0.000</c:formatCode>
                <c:ptCount val="15"/>
                <c:pt idx="0">
                  <c:v>3.1930000000000001</c:v>
                </c:pt>
                <c:pt idx="1">
                  <c:v>3.19</c:v>
                </c:pt>
                <c:pt idx="2">
                  <c:v>3.1869999999999998</c:v>
                </c:pt>
                <c:pt idx="3">
                  <c:v>3.1840000000000002</c:v>
                </c:pt>
                <c:pt idx="4">
                  <c:v>3.181</c:v>
                </c:pt>
                <c:pt idx="5">
                  <c:v>3.1779999999999999</c:v>
                </c:pt>
                <c:pt idx="6">
                  <c:v>3.1749999999999998</c:v>
                </c:pt>
                <c:pt idx="7">
                  <c:v>3.1720000000000002</c:v>
                </c:pt>
                <c:pt idx="8">
                  <c:v>3.169</c:v>
                </c:pt>
                <c:pt idx="9">
                  <c:v>3.1659999999999999</c:v>
                </c:pt>
                <c:pt idx="10">
                  <c:v>3.1629999999999998</c:v>
                </c:pt>
                <c:pt idx="11">
                  <c:v>3.16</c:v>
                </c:pt>
                <c:pt idx="12">
                  <c:v>3.157</c:v>
                </c:pt>
                <c:pt idx="13">
                  <c:v>3.1539999999999999</c:v>
                </c:pt>
                <c:pt idx="14">
                  <c:v>3.1509999999999998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46-4FF9-9781-FE6D19AD1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96384"/>
        <c:axId val="72102272"/>
      </c:scatterChart>
      <c:valAx>
        <c:axId val="72096384"/>
        <c:scaling>
          <c:orientation val="minMax"/>
          <c:max val="240"/>
          <c:min val="100"/>
        </c:scaling>
        <c:delete val="0"/>
        <c:axPos val="b"/>
        <c:numFmt formatCode="0" sourceLinked="1"/>
        <c:majorTickMark val="out"/>
        <c:minorTickMark val="none"/>
        <c:tickLblPos val="nextTo"/>
        <c:crossAx val="72102272"/>
        <c:crosses val="autoZero"/>
        <c:crossBetween val="midCat"/>
      </c:valAx>
      <c:valAx>
        <c:axId val="7210227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720963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3"/>
    </a:solidFill>
  </c:sp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'RET 16P (PT-BR)'!$Y$4</c:f>
              <c:strCache>
                <c:ptCount val="1"/>
                <c:pt idx="0">
                  <c:v>P1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'RET 16P (PT-BR)'!$X$5:$X$24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'RET 16P (PT-BR)'!$Y$5:$Y$24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70-43C6-9FCA-9E4E3B9E67D4}"/>
            </c:ext>
          </c:extLst>
        </c:ser>
        <c:ser>
          <c:idx val="1"/>
          <c:order val="1"/>
          <c:tx>
            <c:strRef>
              <c:f>'RET 16P (PT-BR)'!$Z$4</c:f>
              <c:strCache>
                <c:ptCount val="1"/>
                <c:pt idx="0">
                  <c:v>P2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'RET 16P (PT-BR)'!$X$5:$X$24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'RET 16P (PT-BR)'!$Z$5:$Z$24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70-43C6-9FCA-9E4E3B9E67D4}"/>
            </c:ext>
          </c:extLst>
        </c:ser>
        <c:ser>
          <c:idx val="2"/>
          <c:order val="2"/>
          <c:tx>
            <c:strRef>
              <c:f>'RET 16P (PT-BR)'!$AA$4</c:f>
              <c:strCache>
                <c:ptCount val="1"/>
                <c:pt idx="0">
                  <c:v>P3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'RET 16P (PT-BR)'!$X$5:$X$24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'RET 16P (PT-BR)'!$AA$5:$AA$24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70-43C6-9FCA-9E4E3B9E67D4}"/>
            </c:ext>
          </c:extLst>
        </c:ser>
        <c:ser>
          <c:idx val="3"/>
          <c:order val="3"/>
          <c:tx>
            <c:strRef>
              <c:f>'RET 16P (PT-BR)'!$AB$4</c:f>
              <c:strCache>
                <c:ptCount val="1"/>
                <c:pt idx="0">
                  <c:v>P4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'RET 16P (PT-BR)'!$X$5:$X$24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'RET 16P (PT-BR)'!$AB$5:$AB$24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70-43C6-9FCA-9E4E3B9E67D4}"/>
            </c:ext>
          </c:extLst>
        </c:ser>
        <c:ser>
          <c:idx val="4"/>
          <c:order val="4"/>
          <c:tx>
            <c:strRef>
              <c:f>'RET 16P (PT-BR)'!$AC$4</c:f>
              <c:strCache>
                <c:ptCount val="1"/>
                <c:pt idx="0">
                  <c:v>P5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'RET 16P (PT-BR)'!$X$5:$X$24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'RET 16P (PT-BR)'!$AC$5:$AC$24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70-43C6-9FCA-9E4E3B9E67D4}"/>
            </c:ext>
          </c:extLst>
        </c:ser>
        <c:ser>
          <c:idx val="5"/>
          <c:order val="5"/>
          <c:tx>
            <c:strRef>
              <c:f>'RET 16P (PT-BR)'!$AD$4</c:f>
              <c:strCache>
                <c:ptCount val="1"/>
                <c:pt idx="0">
                  <c:v>P6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'RET 16P (PT-BR)'!$X$5:$X$24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'RET 16P (PT-BR)'!$AD$5:$AD$24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70-43C6-9FCA-9E4E3B9E67D4}"/>
            </c:ext>
          </c:extLst>
        </c:ser>
        <c:ser>
          <c:idx val="6"/>
          <c:order val="6"/>
          <c:tx>
            <c:strRef>
              <c:f>'RET 16P (PT-BR)'!$AE$4</c:f>
              <c:strCache>
                <c:ptCount val="1"/>
                <c:pt idx="0">
                  <c:v>P7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'RET 16P (PT-BR)'!$X$5:$X$24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'RET 16P (PT-BR)'!$AE$5:$AE$24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870-43C6-9FCA-9E4E3B9E67D4}"/>
            </c:ext>
          </c:extLst>
        </c:ser>
        <c:ser>
          <c:idx val="7"/>
          <c:order val="7"/>
          <c:tx>
            <c:strRef>
              <c:f>'RET 16P (PT-BR)'!$AF$4</c:f>
              <c:strCache>
                <c:ptCount val="1"/>
                <c:pt idx="0">
                  <c:v>P8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'RET 16P (PT-BR)'!$X$5:$X$24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'RET 16P (PT-BR)'!$AF$5:$AF$24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70-43C6-9FCA-9E4E3B9E67D4}"/>
            </c:ext>
          </c:extLst>
        </c:ser>
        <c:ser>
          <c:idx val="8"/>
          <c:order val="8"/>
          <c:tx>
            <c:strRef>
              <c:f>'RET 16P (PT-BR)'!$AG$4</c:f>
              <c:strCache>
                <c:ptCount val="1"/>
                <c:pt idx="0">
                  <c:v>P9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'RET 16P (PT-BR)'!$X$5:$X$24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'RET 16P (PT-BR)'!$AG$5:$AG$24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870-43C6-9FCA-9E4E3B9E67D4}"/>
            </c:ext>
          </c:extLst>
        </c:ser>
        <c:ser>
          <c:idx val="9"/>
          <c:order val="9"/>
          <c:tx>
            <c:strRef>
              <c:f>'RET 16P (PT-BR)'!$AH$4</c:f>
              <c:strCache>
                <c:ptCount val="1"/>
                <c:pt idx="0">
                  <c:v>P10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'RET 16P (PT-BR)'!$X$5:$X$24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'RET 16P (PT-BR)'!$AH$5:$AH$24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870-43C6-9FCA-9E4E3B9E67D4}"/>
            </c:ext>
          </c:extLst>
        </c:ser>
        <c:ser>
          <c:idx val="10"/>
          <c:order val="10"/>
          <c:tx>
            <c:strRef>
              <c:f>'RET 16P (PT-BR)'!$AI$4</c:f>
              <c:strCache>
                <c:ptCount val="1"/>
                <c:pt idx="0">
                  <c:v>P11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'RET 16P (PT-BR)'!$X$5:$X$24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'RET 16P (PT-BR)'!$AI$5:$AI$24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870-43C6-9FCA-9E4E3B9E67D4}"/>
            </c:ext>
          </c:extLst>
        </c:ser>
        <c:ser>
          <c:idx val="11"/>
          <c:order val="11"/>
          <c:tx>
            <c:strRef>
              <c:f>'RET 16P (PT-BR)'!$AJ$4</c:f>
              <c:strCache>
                <c:ptCount val="1"/>
                <c:pt idx="0">
                  <c:v>P12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'RET 16P (PT-BR)'!$X$5:$X$24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'RET 16P (PT-BR)'!$AJ$5:$AJ$24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870-43C6-9FCA-9E4E3B9E67D4}"/>
            </c:ext>
          </c:extLst>
        </c:ser>
        <c:ser>
          <c:idx val="12"/>
          <c:order val="12"/>
          <c:tx>
            <c:strRef>
              <c:f>'RET 16P (PT-BR)'!$AK$4</c:f>
              <c:strCache>
                <c:ptCount val="1"/>
                <c:pt idx="0">
                  <c:v>P13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'RET 16P (PT-BR)'!$X$5:$X$24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'RET 16P (PT-BR)'!$AK$5:$AK$24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870-43C6-9FCA-9E4E3B9E67D4}"/>
            </c:ext>
          </c:extLst>
        </c:ser>
        <c:ser>
          <c:idx val="13"/>
          <c:order val="13"/>
          <c:tx>
            <c:strRef>
              <c:f>'RET 16P (PT-BR)'!$AL$4</c:f>
              <c:strCache>
                <c:ptCount val="1"/>
                <c:pt idx="0">
                  <c:v>A1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'RET 16P (PT-BR)'!$X$5:$X$24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'RET 16P (PT-BR)'!$AL$5:$AL$24</c:f>
              <c:numCache>
                <c:formatCode>0.00</c:formatCode>
                <c:ptCount val="2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870-43C6-9FCA-9E4E3B9E67D4}"/>
            </c:ext>
          </c:extLst>
        </c:ser>
        <c:ser>
          <c:idx val="14"/>
          <c:order val="14"/>
          <c:tx>
            <c:strRef>
              <c:f>'RET 16P (PT-BR)'!$AM$4</c:f>
              <c:strCache>
                <c:ptCount val="1"/>
                <c:pt idx="0">
                  <c:v>A2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'RET 16P (PT-BR)'!$X$5:$X$24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'RET 16P (PT-BR)'!$AM$5:$AM$24</c:f>
              <c:numCache>
                <c:formatCode>0.00</c:formatCode>
                <c:ptCount val="2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870-43C6-9FCA-9E4E3B9E67D4}"/>
            </c:ext>
          </c:extLst>
        </c:ser>
        <c:ser>
          <c:idx val="15"/>
          <c:order val="15"/>
          <c:tx>
            <c:strRef>
              <c:f>'RET 16P (PT-BR)'!$AN$4</c:f>
              <c:strCache>
                <c:ptCount val="1"/>
                <c:pt idx="0">
                  <c:v>A3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'RET 16P (PT-BR)'!$X$5:$X$24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'RET 16P (PT-BR)'!$AN$5:$AN$24</c:f>
              <c:numCache>
                <c:formatCode>0.00</c:formatCode>
                <c:ptCount val="2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870-43C6-9FCA-9E4E3B9E6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3364392"/>
        <c:axId val="481960648"/>
      </c:lineChart>
      <c:catAx>
        <c:axId val="233364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1960648"/>
        <c:crosses val="autoZero"/>
        <c:auto val="1"/>
        <c:lblAlgn val="ctr"/>
        <c:lblOffset val="100"/>
        <c:noMultiLvlLbl val="0"/>
      </c:catAx>
      <c:valAx>
        <c:axId val="481960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336439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'RET 16P (PT-BR)'!$Y$56</c:f>
              <c:strCache>
                <c:ptCount val="1"/>
                <c:pt idx="0">
                  <c:v>P1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'RET 16P (PT-BR)'!$X$57:$X$66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'RET 16P (PT-BR)'!$Y$57:$Y$66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B6-41AF-8BAC-D082931FFA42}"/>
            </c:ext>
          </c:extLst>
        </c:ser>
        <c:ser>
          <c:idx val="1"/>
          <c:order val="1"/>
          <c:tx>
            <c:strRef>
              <c:f>'RET 16P (PT-BR)'!$Z$56</c:f>
              <c:strCache>
                <c:ptCount val="1"/>
                <c:pt idx="0">
                  <c:v>P2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'RET 16P (PT-BR)'!$X$57:$X$66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'RET 16P (PT-BR)'!$Z$57:$Z$66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B6-41AF-8BAC-D082931FFA42}"/>
            </c:ext>
          </c:extLst>
        </c:ser>
        <c:ser>
          <c:idx val="2"/>
          <c:order val="2"/>
          <c:tx>
            <c:strRef>
              <c:f>'RET 16P (PT-BR)'!$AA$56</c:f>
              <c:strCache>
                <c:ptCount val="1"/>
                <c:pt idx="0">
                  <c:v>P3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'RET 16P (PT-BR)'!$X$57:$X$66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'RET 16P (PT-BR)'!$AA$57:$AA$66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B6-41AF-8BAC-D082931FFA42}"/>
            </c:ext>
          </c:extLst>
        </c:ser>
        <c:ser>
          <c:idx val="3"/>
          <c:order val="3"/>
          <c:tx>
            <c:strRef>
              <c:f>'RET 16P (PT-BR)'!$AB$56</c:f>
              <c:strCache>
                <c:ptCount val="1"/>
                <c:pt idx="0">
                  <c:v>P4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'RET 16P (PT-BR)'!$X$57:$X$66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'RET 16P (PT-BR)'!$AB$57:$AB$66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B6-41AF-8BAC-D082931FFA42}"/>
            </c:ext>
          </c:extLst>
        </c:ser>
        <c:ser>
          <c:idx val="4"/>
          <c:order val="4"/>
          <c:tx>
            <c:strRef>
              <c:f>'RET 16P (PT-BR)'!$AC$56</c:f>
              <c:strCache>
                <c:ptCount val="1"/>
                <c:pt idx="0">
                  <c:v>P5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'RET 16P (PT-BR)'!$X$57:$X$66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'RET 16P (PT-BR)'!$AC$57:$AC$66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EB6-41AF-8BAC-D082931FFA42}"/>
            </c:ext>
          </c:extLst>
        </c:ser>
        <c:ser>
          <c:idx val="5"/>
          <c:order val="5"/>
          <c:tx>
            <c:strRef>
              <c:f>'RET 16P (PT-BR)'!$AD$56</c:f>
              <c:strCache>
                <c:ptCount val="1"/>
                <c:pt idx="0">
                  <c:v>P6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'RET 16P (PT-BR)'!$X$57:$X$66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'RET 16P (PT-BR)'!$AD$57:$AD$66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EB6-41AF-8BAC-D082931FFA42}"/>
            </c:ext>
          </c:extLst>
        </c:ser>
        <c:ser>
          <c:idx val="6"/>
          <c:order val="6"/>
          <c:tx>
            <c:strRef>
              <c:f>'RET 16P (PT-BR)'!$AE$56</c:f>
              <c:strCache>
                <c:ptCount val="1"/>
                <c:pt idx="0">
                  <c:v>P7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'RET 16P (PT-BR)'!$X$57:$X$66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'RET 16P (PT-BR)'!$AE$57:$AE$66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EB6-41AF-8BAC-D082931FFA42}"/>
            </c:ext>
          </c:extLst>
        </c:ser>
        <c:ser>
          <c:idx val="7"/>
          <c:order val="7"/>
          <c:tx>
            <c:strRef>
              <c:f>'RET 16P (PT-BR)'!$AF$56</c:f>
              <c:strCache>
                <c:ptCount val="1"/>
                <c:pt idx="0">
                  <c:v>P8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'RET 16P (PT-BR)'!$X$57:$X$66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'RET 16P (PT-BR)'!$AF$57:$AF$66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EB6-41AF-8BAC-D082931FFA42}"/>
            </c:ext>
          </c:extLst>
        </c:ser>
        <c:ser>
          <c:idx val="8"/>
          <c:order val="8"/>
          <c:tx>
            <c:strRef>
              <c:f>'RET 16P (PT-BR)'!$AG$56</c:f>
              <c:strCache>
                <c:ptCount val="1"/>
                <c:pt idx="0">
                  <c:v>P9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'RET 16P (PT-BR)'!$X$57:$X$66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'RET 16P (PT-BR)'!$AG$57:$AG$66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EB6-41AF-8BAC-D082931FFA42}"/>
            </c:ext>
          </c:extLst>
        </c:ser>
        <c:ser>
          <c:idx val="9"/>
          <c:order val="9"/>
          <c:tx>
            <c:strRef>
              <c:f>'RET 16P (PT-BR)'!$AH$56</c:f>
              <c:strCache>
                <c:ptCount val="1"/>
                <c:pt idx="0">
                  <c:v>P10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'RET 16P (PT-BR)'!$X$57:$X$66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'RET 16P (PT-BR)'!$AH$57:$AH$66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EB6-41AF-8BAC-D082931FFA42}"/>
            </c:ext>
          </c:extLst>
        </c:ser>
        <c:ser>
          <c:idx val="10"/>
          <c:order val="10"/>
          <c:tx>
            <c:strRef>
              <c:f>'RET 16P (PT-BR)'!$AI$56</c:f>
              <c:strCache>
                <c:ptCount val="1"/>
                <c:pt idx="0">
                  <c:v>P11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'RET 16P (PT-BR)'!$X$57:$X$66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'RET 16P (PT-BR)'!$AI$57:$AI$66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EB6-41AF-8BAC-D082931FFA42}"/>
            </c:ext>
          </c:extLst>
        </c:ser>
        <c:ser>
          <c:idx val="11"/>
          <c:order val="11"/>
          <c:tx>
            <c:strRef>
              <c:f>'RET 16P (PT-BR)'!$AJ$56</c:f>
              <c:strCache>
                <c:ptCount val="1"/>
                <c:pt idx="0">
                  <c:v>P12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'RET 16P (PT-BR)'!$X$57:$X$66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'RET 16P (PT-BR)'!$AJ$57:$AJ$66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EB6-41AF-8BAC-D082931FFA42}"/>
            </c:ext>
          </c:extLst>
        </c:ser>
        <c:ser>
          <c:idx val="12"/>
          <c:order val="12"/>
          <c:tx>
            <c:strRef>
              <c:f>'RET 16P (PT-BR)'!$AK$56</c:f>
              <c:strCache>
                <c:ptCount val="1"/>
                <c:pt idx="0">
                  <c:v>P13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'RET 16P (PT-BR)'!$X$57:$X$66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'RET 16P (PT-BR)'!$AK$57:$AK$66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EB6-41AF-8BAC-D082931FFA42}"/>
            </c:ext>
          </c:extLst>
        </c:ser>
        <c:ser>
          <c:idx val="13"/>
          <c:order val="13"/>
          <c:tx>
            <c:strRef>
              <c:f>'RET 16P (PT-BR)'!$AL$56</c:f>
              <c:strCache>
                <c:ptCount val="1"/>
                <c:pt idx="0">
                  <c:v>A1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'RET 16P (PT-BR)'!$X$57:$X$66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'RET 16P (PT-BR)'!$AL$57:$AL$66</c:f>
              <c:numCache>
                <c:formatCode>0.00</c:formatCode>
                <c:ptCount val="1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EB6-41AF-8BAC-D082931FFA42}"/>
            </c:ext>
          </c:extLst>
        </c:ser>
        <c:ser>
          <c:idx val="14"/>
          <c:order val="14"/>
          <c:tx>
            <c:strRef>
              <c:f>'RET 16P (PT-BR)'!$AM$56</c:f>
              <c:strCache>
                <c:ptCount val="1"/>
                <c:pt idx="0">
                  <c:v>A2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'RET 16P (PT-BR)'!$X$57:$X$66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'RET 16P (PT-BR)'!$AM$57:$AM$66</c:f>
              <c:numCache>
                <c:formatCode>0.00</c:formatCode>
                <c:ptCount val="1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EB6-41AF-8BAC-D082931FFA42}"/>
            </c:ext>
          </c:extLst>
        </c:ser>
        <c:ser>
          <c:idx val="15"/>
          <c:order val="15"/>
          <c:tx>
            <c:strRef>
              <c:f>'RET 16P (PT-BR)'!$AN$56</c:f>
              <c:strCache>
                <c:ptCount val="1"/>
                <c:pt idx="0">
                  <c:v>A3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'RET 16P (PT-BR)'!$X$57:$X$66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'RET 16P (PT-BR)'!$AN$57:$AN$66</c:f>
              <c:numCache>
                <c:formatCode>0.00</c:formatCode>
                <c:ptCount val="1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EB6-41AF-8BAC-D082931FF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358960"/>
        <c:axId val="484349776"/>
      </c:lineChart>
      <c:catAx>
        <c:axId val="48435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4349776"/>
        <c:crosses val="autoZero"/>
        <c:auto val="1"/>
        <c:lblAlgn val="ctr"/>
        <c:lblOffset val="100"/>
        <c:noMultiLvlLbl val="0"/>
      </c:catAx>
      <c:valAx>
        <c:axId val="48434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4358960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'RET 16P (PT-BR)'!$E$87</c:f>
              <c:strCache>
                <c:ptCount val="1"/>
                <c:pt idx="0">
                  <c:v>P1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'RET 16P (PT-BR)'!$D$87:$D$208</c15:sqref>
                  </c15:fullRef>
                </c:ext>
              </c:extLst>
              <c:f>'RET 16P (PT-BR)'!$D$88:$D$208</c:f>
              <c:strCache>
                <c:ptCount val="1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'RET 16P (PT-BR)'!$E$88:$E$208</c15:sqref>
                  </c15:fullRef>
                </c:ext>
              </c:extLst>
              <c:f>'RET 16P (PT-BR)'!$E$89:$E$208</c:f>
              <c:numCache>
                <c:formatCode>0.00</c:formatCode>
                <c:ptCount val="12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14-4222-94B3-7CE0352DBA5E}"/>
            </c:ext>
          </c:extLst>
        </c:ser>
        <c:ser>
          <c:idx val="2"/>
          <c:order val="2"/>
          <c:tx>
            <c:strRef>
              <c:f>'RET 16P (PT-BR)'!$F$87</c:f>
              <c:strCache>
                <c:ptCount val="1"/>
                <c:pt idx="0">
                  <c:v>P2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'RET 16P (PT-BR)'!$D$87:$D$208</c15:sqref>
                  </c15:fullRef>
                </c:ext>
              </c:extLst>
              <c:f>'RET 16P (PT-BR)'!$D$88:$D$208</c:f>
              <c:strCache>
                <c:ptCount val="1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'RET 16P (PT-BR)'!$F$88:$F$208</c15:sqref>
                  </c15:fullRef>
                </c:ext>
              </c:extLst>
              <c:f>'RET 16P (PT-BR)'!$F$89:$F$208</c:f>
              <c:numCache>
                <c:formatCode>0.00</c:formatCode>
                <c:ptCount val="12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14-4222-94B3-7CE0352DBA5E}"/>
            </c:ext>
          </c:extLst>
        </c:ser>
        <c:ser>
          <c:idx val="3"/>
          <c:order val="3"/>
          <c:tx>
            <c:strRef>
              <c:f>'RET 16P (PT-BR)'!$G$87</c:f>
              <c:strCache>
                <c:ptCount val="1"/>
                <c:pt idx="0">
                  <c:v>P3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'RET 16P (PT-BR)'!$D$87:$D$208</c15:sqref>
                  </c15:fullRef>
                </c:ext>
              </c:extLst>
              <c:f>'RET 16P (PT-BR)'!$D$88:$D$208</c:f>
              <c:strCache>
                <c:ptCount val="1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'RET 16P (PT-BR)'!$G$88:$G$208</c15:sqref>
                  </c15:fullRef>
                </c:ext>
              </c:extLst>
              <c:f>'RET 16P (PT-BR)'!$G$89:$G$208</c:f>
              <c:numCache>
                <c:formatCode>0.00</c:formatCode>
                <c:ptCount val="12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14-4222-94B3-7CE0352DBA5E}"/>
            </c:ext>
          </c:extLst>
        </c:ser>
        <c:ser>
          <c:idx val="4"/>
          <c:order val="4"/>
          <c:tx>
            <c:strRef>
              <c:f>'RET 16P (PT-BR)'!$H$87</c:f>
              <c:strCache>
                <c:ptCount val="1"/>
                <c:pt idx="0">
                  <c:v>P4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'RET 16P (PT-BR)'!$D$87:$D$208</c15:sqref>
                  </c15:fullRef>
                </c:ext>
              </c:extLst>
              <c:f>'RET 16P (PT-BR)'!$D$88:$D$208</c:f>
              <c:strCache>
                <c:ptCount val="1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'RET 16P (PT-BR)'!$H$88:$H$208</c15:sqref>
                  </c15:fullRef>
                </c:ext>
              </c:extLst>
              <c:f>'RET 16P (PT-BR)'!$H$89:$H$208</c:f>
              <c:numCache>
                <c:formatCode>0.00</c:formatCode>
                <c:ptCount val="12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14-4222-94B3-7CE0352DBA5E}"/>
            </c:ext>
          </c:extLst>
        </c:ser>
        <c:ser>
          <c:idx val="5"/>
          <c:order val="5"/>
          <c:tx>
            <c:strRef>
              <c:f>'RET 16P (PT-BR)'!$I$87</c:f>
              <c:strCache>
                <c:ptCount val="1"/>
                <c:pt idx="0">
                  <c:v>P5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'RET 16P (PT-BR)'!$D$87:$D$208</c15:sqref>
                  </c15:fullRef>
                </c:ext>
              </c:extLst>
              <c:f>'RET 16P (PT-BR)'!$D$88:$D$208</c:f>
              <c:strCache>
                <c:ptCount val="1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'RET 16P (PT-BR)'!$I$88:$I$208</c15:sqref>
                  </c15:fullRef>
                </c:ext>
              </c:extLst>
              <c:f>'RET 16P (PT-BR)'!$I$89:$I$208</c:f>
              <c:numCache>
                <c:formatCode>0.00</c:formatCode>
                <c:ptCount val="12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C14-4222-94B3-7CE0352DBA5E}"/>
            </c:ext>
          </c:extLst>
        </c:ser>
        <c:ser>
          <c:idx val="6"/>
          <c:order val="6"/>
          <c:tx>
            <c:strRef>
              <c:f>'RET 16P (PT-BR)'!$J$87</c:f>
              <c:strCache>
                <c:ptCount val="1"/>
                <c:pt idx="0">
                  <c:v>P6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'RET 16P (PT-BR)'!$D$87:$D$208</c15:sqref>
                  </c15:fullRef>
                </c:ext>
              </c:extLst>
              <c:f>'RET 16P (PT-BR)'!$D$88:$D$208</c:f>
              <c:strCache>
                <c:ptCount val="1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'RET 16P (PT-BR)'!$J$88:$J$208</c15:sqref>
                  </c15:fullRef>
                </c:ext>
              </c:extLst>
              <c:f>'RET 16P (PT-BR)'!$J$89:$J$208</c:f>
              <c:numCache>
                <c:formatCode>0.00</c:formatCode>
                <c:ptCount val="12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C14-4222-94B3-7CE0352DBA5E}"/>
            </c:ext>
          </c:extLst>
        </c:ser>
        <c:ser>
          <c:idx val="7"/>
          <c:order val="7"/>
          <c:tx>
            <c:strRef>
              <c:f>'RET 16P (PT-BR)'!$K$87</c:f>
              <c:strCache>
                <c:ptCount val="1"/>
                <c:pt idx="0">
                  <c:v>P7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'RET 16P (PT-BR)'!$D$87:$D$208</c15:sqref>
                  </c15:fullRef>
                </c:ext>
              </c:extLst>
              <c:f>'RET 16P (PT-BR)'!$D$88:$D$208</c:f>
              <c:strCache>
                <c:ptCount val="1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'RET 16P (PT-BR)'!$K$88:$K$208</c15:sqref>
                  </c15:fullRef>
                </c:ext>
              </c:extLst>
              <c:f>'RET 16P (PT-BR)'!$K$89:$K$208</c:f>
              <c:numCache>
                <c:formatCode>0.00</c:formatCode>
                <c:ptCount val="12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C14-4222-94B3-7CE0352DBA5E}"/>
            </c:ext>
          </c:extLst>
        </c:ser>
        <c:ser>
          <c:idx val="8"/>
          <c:order val="8"/>
          <c:tx>
            <c:strRef>
              <c:f>'RET 16P (PT-BR)'!$L$87</c:f>
              <c:strCache>
                <c:ptCount val="1"/>
                <c:pt idx="0">
                  <c:v>P8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'RET 16P (PT-BR)'!$D$87:$D$208</c15:sqref>
                  </c15:fullRef>
                </c:ext>
              </c:extLst>
              <c:f>'RET 16P (PT-BR)'!$D$88:$D$208</c:f>
              <c:strCache>
                <c:ptCount val="1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'RET 16P (PT-BR)'!$L$88:$L$208</c15:sqref>
                  </c15:fullRef>
                </c:ext>
              </c:extLst>
              <c:f>'RET 16P (PT-BR)'!$L$89:$L$208</c:f>
              <c:numCache>
                <c:formatCode>0.00</c:formatCode>
                <c:ptCount val="12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C14-4222-94B3-7CE0352DBA5E}"/>
            </c:ext>
          </c:extLst>
        </c:ser>
        <c:ser>
          <c:idx val="9"/>
          <c:order val="9"/>
          <c:tx>
            <c:strRef>
              <c:f>'RET 16P (PT-BR)'!$M$87</c:f>
              <c:strCache>
                <c:ptCount val="1"/>
                <c:pt idx="0">
                  <c:v>P9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'RET 16P (PT-BR)'!$D$87:$D$208</c15:sqref>
                  </c15:fullRef>
                </c:ext>
              </c:extLst>
              <c:f>'RET 16P (PT-BR)'!$D$88:$D$208</c:f>
              <c:strCache>
                <c:ptCount val="1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'RET 16P (PT-BR)'!$M$88:$M$208</c15:sqref>
                  </c15:fullRef>
                </c:ext>
              </c:extLst>
              <c:f>'RET 16P (PT-BR)'!$M$89:$M$208</c:f>
              <c:numCache>
                <c:formatCode>0.00</c:formatCode>
                <c:ptCount val="12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C14-4222-94B3-7CE0352DBA5E}"/>
            </c:ext>
          </c:extLst>
        </c:ser>
        <c:ser>
          <c:idx val="10"/>
          <c:order val="10"/>
          <c:tx>
            <c:strRef>
              <c:f>'RET 16P (PT-BR)'!$N$87</c:f>
              <c:strCache>
                <c:ptCount val="1"/>
                <c:pt idx="0">
                  <c:v>P10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'RET 16P (PT-BR)'!$D$87:$D$208</c15:sqref>
                  </c15:fullRef>
                </c:ext>
              </c:extLst>
              <c:f>'RET 16P (PT-BR)'!$D$88:$D$208</c:f>
              <c:strCache>
                <c:ptCount val="1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'RET 16P (PT-BR)'!$N$88:$N$208</c15:sqref>
                  </c15:fullRef>
                </c:ext>
              </c:extLst>
              <c:f>'RET 16P (PT-BR)'!$N$89:$N$208</c:f>
              <c:numCache>
                <c:formatCode>0.00</c:formatCode>
                <c:ptCount val="12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C14-4222-94B3-7CE0352DBA5E}"/>
            </c:ext>
          </c:extLst>
        </c:ser>
        <c:ser>
          <c:idx val="11"/>
          <c:order val="11"/>
          <c:tx>
            <c:strRef>
              <c:f>'RET 16P (PT-BR)'!$O$87</c:f>
              <c:strCache>
                <c:ptCount val="1"/>
                <c:pt idx="0">
                  <c:v>P11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'RET 16P (PT-BR)'!$D$87:$D$208</c15:sqref>
                  </c15:fullRef>
                </c:ext>
              </c:extLst>
              <c:f>'RET 16P (PT-BR)'!$D$88:$D$208</c:f>
              <c:strCache>
                <c:ptCount val="1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'RET 16P (PT-BR)'!$O$88:$O$208</c15:sqref>
                  </c15:fullRef>
                </c:ext>
              </c:extLst>
              <c:f>'RET 16P (PT-BR)'!$O$89:$O$208</c:f>
              <c:numCache>
                <c:formatCode>0.00</c:formatCode>
                <c:ptCount val="12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C14-4222-94B3-7CE0352DBA5E}"/>
            </c:ext>
          </c:extLst>
        </c:ser>
        <c:ser>
          <c:idx val="12"/>
          <c:order val="12"/>
          <c:tx>
            <c:strRef>
              <c:f>'RET 16P (PT-BR)'!$P$87</c:f>
              <c:strCache>
                <c:ptCount val="1"/>
                <c:pt idx="0">
                  <c:v>P12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'RET 16P (PT-BR)'!$D$87:$D$208</c15:sqref>
                  </c15:fullRef>
                </c:ext>
              </c:extLst>
              <c:f>'RET 16P (PT-BR)'!$D$88:$D$208</c:f>
              <c:strCache>
                <c:ptCount val="1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'RET 16P (PT-BR)'!$P$88:$P$208</c15:sqref>
                  </c15:fullRef>
                </c:ext>
              </c:extLst>
              <c:f>'RET 16P (PT-BR)'!$P$89:$P$208</c:f>
              <c:numCache>
                <c:formatCode>0.00</c:formatCode>
                <c:ptCount val="12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C14-4222-94B3-7CE0352DBA5E}"/>
            </c:ext>
          </c:extLst>
        </c:ser>
        <c:ser>
          <c:idx val="13"/>
          <c:order val="13"/>
          <c:tx>
            <c:strRef>
              <c:f>'RET 16P (PT-BR)'!$Q$87</c:f>
              <c:strCache>
                <c:ptCount val="1"/>
                <c:pt idx="0">
                  <c:v>P13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'RET 16P (PT-BR)'!$D$87:$D$208</c15:sqref>
                  </c15:fullRef>
                </c:ext>
              </c:extLst>
              <c:f>'RET 16P (PT-BR)'!$D$88:$D$208</c:f>
              <c:strCache>
                <c:ptCount val="1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'RET 16P (PT-BR)'!$Q$88:$Q$208</c15:sqref>
                  </c15:fullRef>
                </c:ext>
              </c:extLst>
              <c:f>'RET 16P (PT-BR)'!$Q$89:$Q$208</c:f>
              <c:numCache>
                <c:formatCode>0.00</c:formatCode>
                <c:ptCount val="12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C14-4222-94B3-7CE0352DBA5E}"/>
            </c:ext>
          </c:extLst>
        </c:ser>
        <c:ser>
          <c:idx val="14"/>
          <c:order val="14"/>
          <c:tx>
            <c:strRef>
              <c:f>'RET 16P (PT-BR)'!$R$87</c:f>
              <c:strCache>
                <c:ptCount val="1"/>
                <c:pt idx="0">
                  <c:v>A1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'RET 16P (PT-BR)'!$D$87:$D$208</c15:sqref>
                  </c15:fullRef>
                </c:ext>
              </c:extLst>
              <c:f>'RET 16P (PT-BR)'!$D$88:$D$208</c:f>
              <c:strCache>
                <c:ptCount val="1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'RET 16P (PT-BR)'!$R$88:$R$208</c15:sqref>
                  </c15:fullRef>
                </c:ext>
              </c:extLst>
              <c:f>'RET 16P (PT-BR)'!$R$89:$R$208</c:f>
              <c:numCache>
                <c:formatCode>0.00</c:formatCode>
                <c:ptCount val="12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C14-4222-94B3-7CE0352DBA5E}"/>
            </c:ext>
          </c:extLst>
        </c:ser>
        <c:ser>
          <c:idx val="15"/>
          <c:order val="15"/>
          <c:tx>
            <c:strRef>
              <c:f>'RET 16P (PT-BR)'!$S$87</c:f>
              <c:strCache>
                <c:ptCount val="1"/>
                <c:pt idx="0">
                  <c:v>A2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'RET 16P (PT-BR)'!$D$87:$D$208</c15:sqref>
                  </c15:fullRef>
                </c:ext>
              </c:extLst>
              <c:f>'RET 16P (PT-BR)'!$D$88:$D$208</c:f>
              <c:strCache>
                <c:ptCount val="1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'RET 16P (PT-BR)'!$S$88:$S$208</c15:sqref>
                  </c15:fullRef>
                </c:ext>
              </c:extLst>
              <c:f>'RET 16P (PT-BR)'!$S$89:$S$208</c:f>
              <c:numCache>
                <c:formatCode>0.00</c:formatCode>
                <c:ptCount val="12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C14-4222-94B3-7CE0352DBA5E}"/>
            </c:ext>
          </c:extLst>
        </c:ser>
        <c:ser>
          <c:idx val="16"/>
          <c:order val="16"/>
          <c:tx>
            <c:strRef>
              <c:f>'RET 16P (PT-BR)'!$T$87</c:f>
              <c:strCache>
                <c:ptCount val="1"/>
                <c:pt idx="0">
                  <c:v>A3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'RET 16P (PT-BR)'!$D$87:$D$208</c15:sqref>
                  </c15:fullRef>
                </c:ext>
              </c:extLst>
              <c:f>'RET 16P (PT-BR)'!$D$88:$D$208</c:f>
              <c:strCache>
                <c:ptCount val="1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'RET 16P (PT-BR)'!$T$88:$T$208</c15:sqref>
                  </c15:fullRef>
                </c:ext>
              </c:extLst>
              <c:f>'RET 16P (PT-BR)'!$T$89:$T$208</c:f>
              <c:numCache>
                <c:formatCode>0.00</c:formatCode>
                <c:ptCount val="12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C14-4222-94B3-7CE0352DB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291752"/>
        <c:axId val="51629503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'RET 16P (PT-BR)'!$D$87</c15:sqref>
                        </c15:formulaRef>
                      </c:ext>
                    </c:extLst>
                    <c:strCache>
                      <c:ptCount val="1"/>
                      <c:pt idx="0">
                        <c:v>TEMPO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ullRef>
                          <c15:sqref>'RET 16P (PT-BR)'!$D$87:$D$208</c15:sqref>
                        </c15:fullRef>
                        <c15:formulaRef>
                          <c15:sqref>'RET 16P (PT-BR)'!$D$88:$D$208</c15:sqref>
                        </c15:formulaRef>
                      </c:ext>
                    </c:extLst>
                    <c:strCache>
                      <c:ptCount val="121"/>
                      <c:pt idx="0">
                        <c:v>0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15</c:v>
                      </c:pt>
                      <c:pt idx="4">
                        <c:v>20</c:v>
                      </c:pt>
                      <c:pt idx="5">
                        <c:v>25</c:v>
                      </c:pt>
                      <c:pt idx="6">
                        <c:v>30</c:v>
                      </c:pt>
                      <c:pt idx="7">
                        <c:v>35</c:v>
                      </c:pt>
                      <c:pt idx="8">
                        <c:v>40</c:v>
                      </c:pt>
                      <c:pt idx="9">
                        <c:v>45</c:v>
                      </c:pt>
                      <c:pt idx="10">
                        <c:v>50</c:v>
                      </c:pt>
                      <c:pt idx="11">
                        <c:v>55</c:v>
                      </c:pt>
                      <c:pt idx="12">
                        <c:v>60</c:v>
                      </c:pt>
                      <c:pt idx="13">
                        <c:v>65</c:v>
                      </c:pt>
                      <c:pt idx="14">
                        <c:v>70</c:v>
                      </c:pt>
                      <c:pt idx="15">
                        <c:v>75</c:v>
                      </c:pt>
                      <c:pt idx="16">
                        <c:v>80</c:v>
                      </c:pt>
                      <c:pt idx="17">
                        <c:v>85</c:v>
                      </c:pt>
                      <c:pt idx="18">
                        <c:v>90</c:v>
                      </c:pt>
                      <c:pt idx="19">
                        <c:v>95</c:v>
                      </c:pt>
                      <c:pt idx="20">
                        <c:v>100</c:v>
                      </c:pt>
                      <c:pt idx="21">
                        <c:v>105</c:v>
                      </c:pt>
                      <c:pt idx="22">
                        <c:v>110</c:v>
                      </c:pt>
                      <c:pt idx="23">
                        <c:v>115</c:v>
                      </c:pt>
                      <c:pt idx="24">
                        <c:v>120</c:v>
                      </c:pt>
                      <c:pt idx="25">
                        <c:v>125</c:v>
                      </c:pt>
                      <c:pt idx="26">
                        <c:v>130</c:v>
                      </c:pt>
                      <c:pt idx="27">
                        <c:v>135</c:v>
                      </c:pt>
                      <c:pt idx="28">
                        <c:v>140</c:v>
                      </c:pt>
                      <c:pt idx="29">
                        <c:v>145</c:v>
                      </c:pt>
                      <c:pt idx="30">
                        <c:v>150</c:v>
                      </c:pt>
                      <c:pt idx="31">
                        <c:v>155</c:v>
                      </c:pt>
                      <c:pt idx="32">
                        <c:v>160</c:v>
                      </c:pt>
                      <c:pt idx="33">
                        <c:v>165</c:v>
                      </c:pt>
                      <c:pt idx="34">
                        <c:v>170</c:v>
                      </c:pt>
                      <c:pt idx="35">
                        <c:v>175</c:v>
                      </c:pt>
                      <c:pt idx="36">
                        <c:v>180</c:v>
                      </c:pt>
                      <c:pt idx="37">
                        <c:v>185</c:v>
                      </c:pt>
                      <c:pt idx="38">
                        <c:v>190</c:v>
                      </c:pt>
                      <c:pt idx="39">
                        <c:v>195</c:v>
                      </c:pt>
                      <c:pt idx="40">
                        <c:v>200</c:v>
                      </c:pt>
                      <c:pt idx="41">
                        <c:v>205</c:v>
                      </c:pt>
                      <c:pt idx="42">
                        <c:v>210</c:v>
                      </c:pt>
                      <c:pt idx="43">
                        <c:v>215</c:v>
                      </c:pt>
                      <c:pt idx="44">
                        <c:v>220</c:v>
                      </c:pt>
                      <c:pt idx="45">
                        <c:v>225</c:v>
                      </c:pt>
                      <c:pt idx="46">
                        <c:v>230</c:v>
                      </c:pt>
                      <c:pt idx="47">
                        <c:v>235</c:v>
                      </c:pt>
                      <c:pt idx="48">
                        <c:v>240</c:v>
                      </c:pt>
                      <c:pt idx="49">
                        <c:v>245</c:v>
                      </c:pt>
                      <c:pt idx="50">
                        <c:v>250</c:v>
                      </c:pt>
                      <c:pt idx="51">
                        <c:v>255</c:v>
                      </c:pt>
                      <c:pt idx="52">
                        <c:v>260</c:v>
                      </c:pt>
                      <c:pt idx="53">
                        <c:v>265</c:v>
                      </c:pt>
                      <c:pt idx="54">
                        <c:v>270</c:v>
                      </c:pt>
                      <c:pt idx="55">
                        <c:v>275</c:v>
                      </c:pt>
                      <c:pt idx="56">
                        <c:v>280</c:v>
                      </c:pt>
                      <c:pt idx="57">
                        <c:v>285</c:v>
                      </c:pt>
                      <c:pt idx="58">
                        <c:v>290</c:v>
                      </c:pt>
                      <c:pt idx="59">
                        <c:v>295</c:v>
                      </c:pt>
                      <c:pt idx="60">
                        <c:v>300</c:v>
                      </c:pt>
                      <c:pt idx="61">
                        <c:v>305</c:v>
                      </c:pt>
                      <c:pt idx="62">
                        <c:v>310</c:v>
                      </c:pt>
                      <c:pt idx="63">
                        <c:v>315</c:v>
                      </c:pt>
                      <c:pt idx="64">
                        <c:v>320</c:v>
                      </c:pt>
                      <c:pt idx="65">
                        <c:v>325</c:v>
                      </c:pt>
                      <c:pt idx="66">
                        <c:v>330</c:v>
                      </c:pt>
                      <c:pt idx="67">
                        <c:v>335</c:v>
                      </c:pt>
                      <c:pt idx="68">
                        <c:v>340</c:v>
                      </c:pt>
                      <c:pt idx="69">
                        <c:v>345</c:v>
                      </c:pt>
                      <c:pt idx="70">
                        <c:v>350</c:v>
                      </c:pt>
                      <c:pt idx="71">
                        <c:v>355</c:v>
                      </c:pt>
                      <c:pt idx="72">
                        <c:v>360</c:v>
                      </c:pt>
                      <c:pt idx="73">
                        <c:v>365</c:v>
                      </c:pt>
                      <c:pt idx="74">
                        <c:v>370</c:v>
                      </c:pt>
                      <c:pt idx="75">
                        <c:v>375</c:v>
                      </c:pt>
                      <c:pt idx="76">
                        <c:v>380</c:v>
                      </c:pt>
                      <c:pt idx="77">
                        <c:v>385</c:v>
                      </c:pt>
                      <c:pt idx="78">
                        <c:v>390</c:v>
                      </c:pt>
                      <c:pt idx="79">
                        <c:v>395</c:v>
                      </c:pt>
                      <c:pt idx="80">
                        <c:v>400</c:v>
                      </c:pt>
                      <c:pt idx="81">
                        <c:v>405</c:v>
                      </c:pt>
                      <c:pt idx="82">
                        <c:v>410</c:v>
                      </c:pt>
                      <c:pt idx="83">
                        <c:v>415</c:v>
                      </c:pt>
                      <c:pt idx="84">
                        <c:v>420</c:v>
                      </c:pt>
                      <c:pt idx="85">
                        <c:v>425</c:v>
                      </c:pt>
                      <c:pt idx="86">
                        <c:v>430</c:v>
                      </c:pt>
                      <c:pt idx="87">
                        <c:v>435</c:v>
                      </c:pt>
                      <c:pt idx="88">
                        <c:v>440</c:v>
                      </c:pt>
                      <c:pt idx="89">
                        <c:v>445</c:v>
                      </c:pt>
                      <c:pt idx="90">
                        <c:v>450</c:v>
                      </c:pt>
                      <c:pt idx="91">
                        <c:v>455</c:v>
                      </c:pt>
                      <c:pt idx="92">
                        <c:v>460</c:v>
                      </c:pt>
                      <c:pt idx="93">
                        <c:v>465</c:v>
                      </c:pt>
                      <c:pt idx="94">
                        <c:v>470</c:v>
                      </c:pt>
                      <c:pt idx="95">
                        <c:v>475</c:v>
                      </c:pt>
                      <c:pt idx="96">
                        <c:v>480</c:v>
                      </c:pt>
                      <c:pt idx="97">
                        <c:v>485</c:v>
                      </c:pt>
                      <c:pt idx="98">
                        <c:v>490</c:v>
                      </c:pt>
                      <c:pt idx="99">
                        <c:v>495</c:v>
                      </c:pt>
                      <c:pt idx="100">
                        <c:v>500</c:v>
                      </c:pt>
                      <c:pt idx="101">
                        <c:v>505</c:v>
                      </c:pt>
                      <c:pt idx="102">
                        <c:v>510</c:v>
                      </c:pt>
                      <c:pt idx="103">
                        <c:v>515</c:v>
                      </c:pt>
                      <c:pt idx="104">
                        <c:v>520</c:v>
                      </c:pt>
                      <c:pt idx="105">
                        <c:v>525</c:v>
                      </c:pt>
                      <c:pt idx="106">
                        <c:v>530</c:v>
                      </c:pt>
                      <c:pt idx="107">
                        <c:v>535</c:v>
                      </c:pt>
                      <c:pt idx="108">
                        <c:v>540</c:v>
                      </c:pt>
                      <c:pt idx="109">
                        <c:v>545</c:v>
                      </c:pt>
                      <c:pt idx="110">
                        <c:v>550</c:v>
                      </c:pt>
                      <c:pt idx="111">
                        <c:v>555</c:v>
                      </c:pt>
                      <c:pt idx="112">
                        <c:v>560</c:v>
                      </c:pt>
                      <c:pt idx="113">
                        <c:v>565</c:v>
                      </c:pt>
                      <c:pt idx="114">
                        <c:v>570</c:v>
                      </c:pt>
                      <c:pt idx="115">
                        <c:v>575</c:v>
                      </c:pt>
                      <c:pt idx="116">
                        <c:v>580</c:v>
                      </c:pt>
                      <c:pt idx="117">
                        <c:v>585</c:v>
                      </c:pt>
                      <c:pt idx="118">
                        <c:v>590</c:v>
                      </c:pt>
                      <c:pt idx="119">
                        <c:v>595</c:v>
                      </c:pt>
                      <c:pt idx="120">
                        <c:v>600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'RET 16P (PT-BR)'!$D$88:$D$208</c15:sqref>
                        </c15:fullRef>
                        <c15:formulaRef>
                          <c15:sqref>'RET 16P (PT-BR)'!$D$89:$D$208</c15:sqref>
                        </c15:formulaRef>
                      </c:ext>
                    </c:extLst>
                    <c:numCache>
                      <c:formatCode>0</c:formatCode>
                      <c:ptCount val="120"/>
                      <c:pt idx="0">
                        <c:v>5</c:v>
                      </c:pt>
                      <c:pt idx="1">
                        <c:v>10</c:v>
                      </c:pt>
                      <c:pt idx="2">
                        <c:v>15</c:v>
                      </c:pt>
                      <c:pt idx="3">
                        <c:v>20</c:v>
                      </c:pt>
                      <c:pt idx="4">
                        <c:v>25</c:v>
                      </c:pt>
                      <c:pt idx="5">
                        <c:v>30</c:v>
                      </c:pt>
                      <c:pt idx="6">
                        <c:v>35</c:v>
                      </c:pt>
                      <c:pt idx="7">
                        <c:v>40</c:v>
                      </c:pt>
                      <c:pt idx="8">
                        <c:v>45</c:v>
                      </c:pt>
                      <c:pt idx="9">
                        <c:v>50</c:v>
                      </c:pt>
                      <c:pt idx="10">
                        <c:v>55</c:v>
                      </c:pt>
                      <c:pt idx="11">
                        <c:v>60</c:v>
                      </c:pt>
                      <c:pt idx="12">
                        <c:v>65</c:v>
                      </c:pt>
                      <c:pt idx="13">
                        <c:v>70</c:v>
                      </c:pt>
                      <c:pt idx="14">
                        <c:v>75</c:v>
                      </c:pt>
                      <c:pt idx="15">
                        <c:v>80</c:v>
                      </c:pt>
                      <c:pt idx="16">
                        <c:v>85</c:v>
                      </c:pt>
                      <c:pt idx="17">
                        <c:v>90</c:v>
                      </c:pt>
                      <c:pt idx="18">
                        <c:v>95</c:v>
                      </c:pt>
                      <c:pt idx="19">
                        <c:v>100</c:v>
                      </c:pt>
                      <c:pt idx="20">
                        <c:v>105</c:v>
                      </c:pt>
                      <c:pt idx="21">
                        <c:v>110</c:v>
                      </c:pt>
                      <c:pt idx="22">
                        <c:v>115</c:v>
                      </c:pt>
                      <c:pt idx="23">
                        <c:v>120</c:v>
                      </c:pt>
                      <c:pt idx="24">
                        <c:v>125</c:v>
                      </c:pt>
                      <c:pt idx="25">
                        <c:v>130</c:v>
                      </c:pt>
                      <c:pt idx="26">
                        <c:v>135</c:v>
                      </c:pt>
                      <c:pt idx="27">
                        <c:v>140</c:v>
                      </c:pt>
                      <c:pt idx="28">
                        <c:v>145</c:v>
                      </c:pt>
                      <c:pt idx="29">
                        <c:v>150</c:v>
                      </c:pt>
                      <c:pt idx="30">
                        <c:v>155</c:v>
                      </c:pt>
                      <c:pt idx="31">
                        <c:v>160</c:v>
                      </c:pt>
                      <c:pt idx="32">
                        <c:v>165</c:v>
                      </c:pt>
                      <c:pt idx="33">
                        <c:v>170</c:v>
                      </c:pt>
                      <c:pt idx="34">
                        <c:v>175</c:v>
                      </c:pt>
                      <c:pt idx="35">
                        <c:v>180</c:v>
                      </c:pt>
                      <c:pt idx="36">
                        <c:v>185</c:v>
                      </c:pt>
                      <c:pt idx="37">
                        <c:v>190</c:v>
                      </c:pt>
                      <c:pt idx="38">
                        <c:v>195</c:v>
                      </c:pt>
                      <c:pt idx="39">
                        <c:v>200</c:v>
                      </c:pt>
                      <c:pt idx="40">
                        <c:v>205</c:v>
                      </c:pt>
                      <c:pt idx="41">
                        <c:v>210</c:v>
                      </c:pt>
                      <c:pt idx="42">
                        <c:v>215</c:v>
                      </c:pt>
                      <c:pt idx="43">
                        <c:v>220</c:v>
                      </c:pt>
                      <c:pt idx="44">
                        <c:v>225</c:v>
                      </c:pt>
                      <c:pt idx="45">
                        <c:v>230</c:v>
                      </c:pt>
                      <c:pt idx="46">
                        <c:v>235</c:v>
                      </c:pt>
                      <c:pt idx="47">
                        <c:v>240</c:v>
                      </c:pt>
                      <c:pt idx="48">
                        <c:v>245</c:v>
                      </c:pt>
                      <c:pt idx="49">
                        <c:v>250</c:v>
                      </c:pt>
                      <c:pt idx="50">
                        <c:v>255</c:v>
                      </c:pt>
                      <c:pt idx="51">
                        <c:v>260</c:v>
                      </c:pt>
                      <c:pt idx="52">
                        <c:v>265</c:v>
                      </c:pt>
                      <c:pt idx="53">
                        <c:v>270</c:v>
                      </c:pt>
                      <c:pt idx="54">
                        <c:v>275</c:v>
                      </c:pt>
                      <c:pt idx="55">
                        <c:v>280</c:v>
                      </c:pt>
                      <c:pt idx="56">
                        <c:v>285</c:v>
                      </c:pt>
                      <c:pt idx="57">
                        <c:v>290</c:v>
                      </c:pt>
                      <c:pt idx="58">
                        <c:v>295</c:v>
                      </c:pt>
                      <c:pt idx="59">
                        <c:v>300</c:v>
                      </c:pt>
                      <c:pt idx="60">
                        <c:v>305</c:v>
                      </c:pt>
                      <c:pt idx="61">
                        <c:v>310</c:v>
                      </c:pt>
                      <c:pt idx="62">
                        <c:v>315</c:v>
                      </c:pt>
                      <c:pt idx="63">
                        <c:v>320</c:v>
                      </c:pt>
                      <c:pt idx="64">
                        <c:v>325</c:v>
                      </c:pt>
                      <c:pt idx="65">
                        <c:v>330</c:v>
                      </c:pt>
                      <c:pt idx="66">
                        <c:v>335</c:v>
                      </c:pt>
                      <c:pt idx="67">
                        <c:v>340</c:v>
                      </c:pt>
                      <c:pt idx="68">
                        <c:v>345</c:v>
                      </c:pt>
                      <c:pt idx="69">
                        <c:v>350</c:v>
                      </c:pt>
                      <c:pt idx="70">
                        <c:v>355</c:v>
                      </c:pt>
                      <c:pt idx="71">
                        <c:v>360</c:v>
                      </c:pt>
                      <c:pt idx="72">
                        <c:v>365</c:v>
                      </c:pt>
                      <c:pt idx="73">
                        <c:v>370</c:v>
                      </c:pt>
                      <c:pt idx="74">
                        <c:v>375</c:v>
                      </c:pt>
                      <c:pt idx="75">
                        <c:v>380</c:v>
                      </c:pt>
                      <c:pt idx="76">
                        <c:v>385</c:v>
                      </c:pt>
                      <c:pt idx="77">
                        <c:v>390</c:v>
                      </c:pt>
                      <c:pt idx="78">
                        <c:v>395</c:v>
                      </c:pt>
                      <c:pt idx="79">
                        <c:v>400</c:v>
                      </c:pt>
                      <c:pt idx="80">
                        <c:v>405</c:v>
                      </c:pt>
                      <c:pt idx="81">
                        <c:v>410</c:v>
                      </c:pt>
                      <c:pt idx="82">
                        <c:v>415</c:v>
                      </c:pt>
                      <c:pt idx="83">
                        <c:v>420</c:v>
                      </c:pt>
                      <c:pt idx="84">
                        <c:v>425</c:v>
                      </c:pt>
                      <c:pt idx="85">
                        <c:v>430</c:v>
                      </c:pt>
                      <c:pt idx="86">
                        <c:v>435</c:v>
                      </c:pt>
                      <c:pt idx="87">
                        <c:v>440</c:v>
                      </c:pt>
                      <c:pt idx="88">
                        <c:v>445</c:v>
                      </c:pt>
                      <c:pt idx="89">
                        <c:v>450</c:v>
                      </c:pt>
                      <c:pt idx="90">
                        <c:v>455</c:v>
                      </c:pt>
                      <c:pt idx="91">
                        <c:v>460</c:v>
                      </c:pt>
                      <c:pt idx="92">
                        <c:v>465</c:v>
                      </c:pt>
                      <c:pt idx="93">
                        <c:v>470</c:v>
                      </c:pt>
                      <c:pt idx="94">
                        <c:v>475</c:v>
                      </c:pt>
                      <c:pt idx="95">
                        <c:v>480</c:v>
                      </c:pt>
                      <c:pt idx="96">
                        <c:v>485</c:v>
                      </c:pt>
                      <c:pt idx="97">
                        <c:v>490</c:v>
                      </c:pt>
                      <c:pt idx="98">
                        <c:v>495</c:v>
                      </c:pt>
                      <c:pt idx="99">
                        <c:v>500</c:v>
                      </c:pt>
                      <c:pt idx="100">
                        <c:v>505</c:v>
                      </c:pt>
                      <c:pt idx="101">
                        <c:v>510</c:v>
                      </c:pt>
                      <c:pt idx="102">
                        <c:v>515</c:v>
                      </c:pt>
                      <c:pt idx="103">
                        <c:v>520</c:v>
                      </c:pt>
                      <c:pt idx="104">
                        <c:v>525</c:v>
                      </c:pt>
                      <c:pt idx="105">
                        <c:v>530</c:v>
                      </c:pt>
                      <c:pt idx="106">
                        <c:v>535</c:v>
                      </c:pt>
                      <c:pt idx="107">
                        <c:v>540</c:v>
                      </c:pt>
                      <c:pt idx="108">
                        <c:v>545</c:v>
                      </c:pt>
                      <c:pt idx="109">
                        <c:v>550</c:v>
                      </c:pt>
                      <c:pt idx="110">
                        <c:v>555</c:v>
                      </c:pt>
                      <c:pt idx="111">
                        <c:v>560</c:v>
                      </c:pt>
                      <c:pt idx="112">
                        <c:v>565</c:v>
                      </c:pt>
                      <c:pt idx="113">
                        <c:v>570</c:v>
                      </c:pt>
                      <c:pt idx="114">
                        <c:v>575</c:v>
                      </c:pt>
                      <c:pt idx="115">
                        <c:v>580</c:v>
                      </c:pt>
                      <c:pt idx="116">
                        <c:v>585</c:v>
                      </c:pt>
                      <c:pt idx="117">
                        <c:v>590</c:v>
                      </c:pt>
                      <c:pt idx="118">
                        <c:v>595</c:v>
                      </c:pt>
                      <c:pt idx="119">
                        <c:v>600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1C14-4222-94B3-7CE0352DBA5E}"/>
                  </c:ext>
                </c:extLst>
              </c15:ser>
            </c15:filteredLineSeries>
          </c:ext>
        </c:extLst>
      </c:lineChart>
      <c:catAx>
        <c:axId val="516291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6295032"/>
        <c:crosses val="autoZero"/>
        <c:auto val="1"/>
        <c:lblAlgn val="ctr"/>
        <c:lblOffset val="100"/>
        <c:noMultiLvlLbl val="0"/>
      </c:catAx>
      <c:valAx>
        <c:axId val="516295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6291752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image" Target="../media/image1.png"/><Relationship Id="rId1" Type="http://schemas.openxmlformats.org/officeDocument/2006/relationships/chart" Target="../charts/chart5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211</xdr:row>
      <xdr:rowOff>38100</xdr:rowOff>
    </xdr:from>
    <xdr:to>
      <xdr:col>13</xdr:col>
      <xdr:colOff>625929</xdr:colOff>
      <xdr:row>229</xdr:row>
      <xdr:rowOff>122464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19049</xdr:colOff>
      <xdr:row>253</xdr:row>
      <xdr:rowOff>57150</xdr:rowOff>
    </xdr:from>
    <xdr:to>
      <xdr:col>13</xdr:col>
      <xdr:colOff>142874</xdr:colOff>
      <xdr:row>261</xdr:row>
      <xdr:rowOff>157161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112060</xdr:colOff>
      <xdr:row>1</xdr:row>
      <xdr:rowOff>56032</xdr:rowOff>
    </xdr:from>
    <xdr:to>
      <xdr:col>2</xdr:col>
      <xdr:colOff>182707</xdr:colOff>
      <xdr:row>4</xdr:row>
      <xdr:rowOff>20280</xdr:rowOff>
    </xdr:to>
    <xdr:pic>
      <xdr:nvPicPr>
        <xdr:cNvPr id="6" name="u244_img" descr="BREENERGY - Brazilian Energy Efficiency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3152" b="16326"/>
        <a:stretch/>
      </xdr:blipFill>
      <xdr:spPr bwMode="auto">
        <a:xfrm>
          <a:off x="721660" y="227482"/>
          <a:ext cx="926166" cy="4785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495299</xdr:colOff>
      <xdr:row>18</xdr:row>
      <xdr:rowOff>28576</xdr:rowOff>
    </xdr:from>
    <xdr:to>
      <xdr:col>13</xdr:col>
      <xdr:colOff>200025</xdr:colOff>
      <xdr:row>30</xdr:row>
      <xdr:rowOff>123825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104899" y="3286126"/>
          <a:ext cx="6334126" cy="249554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>
              <a:latin typeface="+mn-lt"/>
              <a:cs typeface="+mn-cs"/>
            </a:rPr>
            <a:t>	</a:t>
          </a:r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Durante o ensaio de Elevação de Temperatura é Injetada a corrente nominal no reator, até que sua temperatura estabilize.</a:t>
          </a:r>
        </a:p>
        <a:p>
          <a:pPr algn="l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	A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estabilização ocorre quando a temperatura no corpo do reator varia menos que 1°C. Esta variação de temperatura é detectada por meio de sensores de temperatura posicionados ao longo do corpo do reator. A variação da temperatura ambiente também é Mensurada.</a:t>
          </a:r>
        </a:p>
        <a:p>
          <a:pPr algn="l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	Após detectada a estabilização o reator é desconectado do circuito e inicia-se a medição da curva de variação da resistência ôhmica pela temperatura do reator. A resistência diminui conforme a temperatura do reator decai.</a:t>
          </a:r>
        </a:p>
        <a:p>
          <a:pPr algn="l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	Com os valores adquiridos da curva de variação de resistência, é calculada a temperatura do reator no instante do desligamento, este valor é normalizado com a temperatura ambiente especificada pelo cliente, e é equivale a temperatura do reator em regime normal de trabalho.</a:t>
          </a:r>
        </a:p>
      </xdr:txBody>
    </xdr:sp>
    <xdr:clientData/>
  </xdr:twoCellAnchor>
  <xdr:oneCellAnchor>
    <xdr:from>
      <xdr:col>2</xdr:col>
      <xdr:colOff>228599</xdr:colOff>
      <xdr:row>267</xdr:row>
      <xdr:rowOff>107316</xdr:rowOff>
    </xdr:from>
    <xdr:ext cx="2324101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SpPr txBox="1"/>
          </xdr:nvSpPr>
          <xdr:spPr>
            <a:xfrm>
              <a:off x="1523999" y="28663266"/>
              <a:ext cx="232410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>
                  <a:latin typeface="Arial" panose="020B0604020202020204" pitchFamily="34" charset="0"/>
                  <a:cs typeface="Arial" panose="020B0604020202020204" pitchFamily="34" charset="0"/>
                </a:rPr>
                <a:t>Ter</a:t>
              </a:r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14:m>
                <m:oMath xmlns:m="http://schemas.openxmlformats.org/officeDocument/2006/math">
                  <m:r>
                    <a:rPr lang="pt-BR" sz="1100" i="0">
                      <a:latin typeface="Cambria Math"/>
                    </a:rPr>
                    <m:t>=</m:t>
                  </m:r>
                  <m:d>
                    <m:dPr>
                      <m:ctrlPr>
                        <a:rPr lang="pt-BR" sz="1100" i="1">
                          <a:latin typeface="Cambria Math" panose="02040503050406030204" pitchFamily="18" charset="0"/>
                        </a:rPr>
                      </m:ctrlPr>
                    </m:dPr>
                    <m:e>
                      <m:f>
                        <m:fPr>
                          <m:ctrlPr>
                            <a:rPr lang="pt-BR" sz="110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R</m:t>
                          </m:r>
                          <m:r>
                            <a:rPr lang="pt-BR" sz="1100" b="0" i="0">
                              <a:latin typeface="Cambria Math"/>
                            </a:rPr>
                            <m:t>2</m:t>
                          </m:r>
                        </m:num>
                        <m:den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R</m:t>
                          </m:r>
                          <m:r>
                            <a:rPr lang="pt-BR" sz="1100" b="0" i="0">
                              <a:latin typeface="Cambria Math"/>
                            </a:rPr>
                            <m:t>1</m:t>
                          </m:r>
                        </m:den>
                      </m:f>
                      <m:r>
                        <a:rPr lang="pt-BR" sz="1100" b="0" i="0">
                          <a:latin typeface="Cambria Math"/>
                        </a:rPr>
                        <m:t>  ∗ </m:t>
                      </m:r>
                      <m:d>
                        <m:dPr>
                          <m:ctrlPr>
                            <a:rPr lang="pt-BR" sz="11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pt-BR" sz="1100" b="0" i="0">
                              <a:latin typeface="Cambria Math"/>
                            </a:rPr>
                            <m:t>225+</m:t>
                          </m:r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T</m:t>
                          </m:r>
                          <m:r>
                            <a:rPr lang="pt-BR" sz="1100" b="0" i="0">
                              <a:latin typeface="Cambria Math"/>
                            </a:rPr>
                            <m:t>1</m:t>
                          </m:r>
                        </m:e>
                      </m:d>
                    </m:e>
                  </m:d>
                  <m:r>
                    <a:rPr lang="pt-BR" sz="1100" b="0" i="0">
                      <a:latin typeface="Cambria Math"/>
                    </a:rPr>
                    <m:t>−225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10" name="CaixaDeTexto 9"/>
            <xdr:cNvSpPr txBox="1"/>
          </xdr:nvSpPr>
          <xdr:spPr>
            <a:xfrm>
              <a:off x="1523999" y="28663266"/>
              <a:ext cx="232410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>
                  <a:latin typeface="Arial" panose="020B0604020202020204" pitchFamily="34" charset="0"/>
                  <a:cs typeface="Arial" panose="020B0604020202020204" pitchFamily="34" charset="0"/>
                </a:rPr>
                <a:t>Ter</a:t>
              </a:r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1100" i="0">
                  <a:latin typeface="Cambria Math"/>
                </a:rPr>
                <a:t>=(</a:t>
              </a:r>
              <a:r>
                <a:rPr lang="pt-BR" sz="1100" b="0" i="0">
                  <a:latin typeface="Cambria Math"/>
                </a:rPr>
                <a:t>R2/R1   ∗ (225+T1))−225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oneCellAnchor>
    <xdr:from>
      <xdr:col>3</xdr:col>
      <xdr:colOff>76199</xdr:colOff>
      <xdr:row>277</xdr:row>
      <xdr:rowOff>12066</xdr:rowOff>
    </xdr:from>
    <xdr:ext cx="1123951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1790699" y="30873066"/>
              <a:ext cx="11239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 </a:t>
              </a:r>
              <a14:m>
                <m:oMath xmlns:m="http://schemas.openxmlformats.org/officeDocument/2006/math">
                  <m:r>
                    <a:rPr lang="pt-BR" sz="1100" i="0">
                      <a:latin typeface="Cambria Math"/>
                    </a:rPr>
                    <m:t>=</m:t>
                  </m:r>
                  <m:r>
                    <m:rPr>
                      <m:sty m:val="p"/>
                    </m:rPr>
                    <a:rPr lang="pt-BR" sz="1100" b="0" i="1">
                      <a:latin typeface="Cambria Math"/>
                    </a:rPr>
                    <m:t>Ter</m:t>
                  </m:r>
                  <m:r>
                    <a:rPr lang="pt-BR" sz="1100" b="0" i="0">
                      <a:latin typeface="Cambria Math"/>
                    </a:rPr>
                    <m:t> −</m:t>
                  </m:r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T</m:t>
                  </m:r>
                  <m:r>
                    <a:rPr lang="pt-BR" sz="1100" b="0" i="0">
                      <a:latin typeface="Cambria Math"/>
                    </a:rPr>
                    <m:t>2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11" name="CaixaDeTexto 10"/>
            <xdr:cNvSpPr txBox="1"/>
          </xdr:nvSpPr>
          <xdr:spPr>
            <a:xfrm>
              <a:off x="1790699" y="30873066"/>
              <a:ext cx="11239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 </a:t>
              </a:r>
              <a:r>
                <a:rPr lang="pt-BR" sz="1100" i="0">
                  <a:latin typeface="Cambria Math"/>
                </a:rPr>
                <a:t>=</a:t>
              </a:r>
              <a:r>
                <a:rPr lang="pt-BR" sz="1100" b="0" i="0">
                  <a:latin typeface="Cambria Math"/>
                </a:rPr>
                <a:t>Tr −T2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257174</xdr:colOff>
      <xdr:row>286</xdr:row>
      <xdr:rowOff>107316</xdr:rowOff>
    </xdr:from>
    <xdr:ext cx="2114551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aixaDeTexto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 txBox="1"/>
          </xdr:nvSpPr>
          <xdr:spPr>
            <a:xfrm>
              <a:off x="1552574" y="33844866"/>
              <a:ext cx="21145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TMF </a:t>
              </a:r>
              <a14:m>
                <m:oMath xmlns:m="http://schemas.openxmlformats.org/officeDocument/2006/math">
                  <m:r>
                    <a:rPr lang="pt-BR" sz="1100" i="0">
                      <a:latin typeface="Cambria Math"/>
                    </a:rPr>
                    <m:t>=</m:t>
                  </m:r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Tref</m:t>
                  </m:r>
                  <m:r>
                    <a:rPr lang="pt-BR" sz="1100" b="0" i="0">
                      <a:latin typeface="Cambria Math"/>
                    </a:rPr>
                    <m:t>+</m:t>
                  </m:r>
                  <m:d>
                    <m:dPr>
                      <m:ctrlPr>
                        <a:rPr lang="pt-BR" sz="1100" i="1">
                          <a:latin typeface="Cambria Math" panose="02040503050406030204" pitchFamily="18" charset="0"/>
                        </a:rPr>
                      </m:ctrlPr>
                    </m:dPr>
                    <m:e>
                      <m:f>
                        <m:fPr>
                          <m:ctrlPr>
                            <a:rPr lang="pt-BR" sz="110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pt-BR" sz="1100" b="0" i="0">
                              <a:latin typeface="Cambria Math"/>
                            </a:rPr>
                            <m:t>225+</m:t>
                          </m:r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Tref</m:t>
                          </m:r>
                        </m:num>
                        <m:den>
                          <m:r>
                            <a:rPr lang="pt-BR" sz="1100" b="0" i="0">
                              <a:latin typeface="Cambria Math"/>
                            </a:rPr>
                            <m:t>225+</m:t>
                          </m:r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T</m:t>
                          </m:r>
                          <m:r>
                            <a:rPr lang="pt-BR" sz="1100" b="0" i="0">
                              <a:latin typeface="Cambria Math"/>
                            </a:rPr>
                            <m:t>2</m:t>
                          </m:r>
                        </m:den>
                      </m:f>
                    </m:e>
                  </m:d>
                  <m:r>
                    <a:rPr lang="pt-BR" sz="1100" b="0" i="0">
                      <a:latin typeface="Cambria Math"/>
                    </a:rPr>
                    <m:t> ∗</m:t>
                  </m:r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DT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12" name="CaixaDeTexto 11"/>
            <xdr:cNvSpPr txBox="1"/>
          </xdr:nvSpPr>
          <xdr:spPr>
            <a:xfrm>
              <a:off x="1552574" y="33844866"/>
              <a:ext cx="21145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TMF </a:t>
              </a:r>
              <a:r>
                <a:rPr lang="pt-BR" sz="1100" i="0">
                  <a:latin typeface="Cambria Math"/>
                </a:rPr>
                <a:t>=</a:t>
              </a:r>
              <a:r>
                <a:rPr lang="pt-BR" sz="1100" b="0" i="0">
                  <a:latin typeface="Cambria Math"/>
                </a:rPr>
                <a:t>Tref+</a:t>
              </a:r>
              <a:r>
                <a:rPr lang="pt-BR" sz="1100" i="0">
                  <a:latin typeface="Cambria Math"/>
                </a:rPr>
                <a:t>((</a:t>
              </a:r>
              <a:r>
                <a:rPr lang="pt-BR" sz="1100" b="0" i="0">
                  <a:latin typeface="Cambria Math"/>
                </a:rPr>
                <a:t>225+Tref)/(225+T2))  ∗DT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twoCellAnchor>
    <xdr:from>
      <xdr:col>1</xdr:col>
      <xdr:colOff>428625</xdr:colOff>
      <xdr:row>315</xdr:row>
      <xdr:rowOff>57150</xdr:rowOff>
    </xdr:from>
    <xdr:to>
      <xdr:col>13</xdr:col>
      <xdr:colOff>232172</xdr:colOff>
      <xdr:row>319</xdr:row>
      <xdr:rowOff>104775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077516" y="37633275"/>
          <a:ext cx="7590234" cy="58340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>
              <a:latin typeface="+mn-lt"/>
              <a:cs typeface="+mn-cs"/>
            </a:rPr>
            <a:t>	</a:t>
          </a:r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Com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base nos valores de temperatura calculados podemos afirmar que o Reator de Núcleo de Ar Bree, foi considerado aprovado no ensaio de Elevação de Temperatura. E se mantem adequado quanto a temperatura após o curto-circuito, conforme estabelecido na NBR-5356-05 item 4.1.5</a:t>
          </a:r>
        </a:p>
      </xdr:txBody>
    </xdr:sp>
    <xdr:clientData/>
  </xdr:twoCellAnchor>
  <xdr:oneCellAnchor>
    <xdr:from>
      <xdr:col>2</xdr:col>
      <xdr:colOff>571500</xdr:colOff>
      <xdr:row>296</xdr:row>
      <xdr:rowOff>78741</xdr:rowOff>
    </xdr:from>
    <xdr:ext cx="1419226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aixaDeTexto 13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SpPr txBox="1"/>
          </xdr:nvSpPr>
          <xdr:spPr>
            <a:xfrm>
              <a:off x="1866900" y="34549716"/>
              <a:ext cx="1419226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DTref = TMF - </a:t>
              </a:r>
              <a14:m>
                <m:oMath xmlns:m="http://schemas.openxmlformats.org/officeDocument/2006/math"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Tref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14" name="CaixaDeTexto 13"/>
            <xdr:cNvSpPr txBox="1"/>
          </xdr:nvSpPr>
          <xdr:spPr>
            <a:xfrm>
              <a:off x="1866900" y="34549716"/>
              <a:ext cx="1419226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DTref = TMF - </a:t>
              </a:r>
              <a:r>
                <a:rPr lang="pt-BR" sz="1100" b="0" i="0">
                  <a:latin typeface="Cambria Math"/>
                </a:rPr>
                <a:t>Tref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oneCellAnchor>
    <xdr:from>
      <xdr:col>2</xdr:col>
      <xdr:colOff>375047</xdr:colOff>
      <xdr:row>305</xdr:row>
      <xdr:rowOff>78741</xdr:rowOff>
    </xdr:from>
    <xdr:ext cx="2047876" cy="9928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aixaDeTexto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 txBox="1"/>
          </xdr:nvSpPr>
          <xdr:spPr>
            <a:xfrm>
              <a:off x="1672828" y="35583179"/>
              <a:ext cx="2047876" cy="9928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20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Ɵ </a:t>
              </a:r>
              <a14:m>
                <m:oMath xmlns:m="http://schemas.openxmlformats.org/officeDocument/2006/math">
                  <m:r>
                    <a:rPr lang="pt-BR" sz="1200" i="0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=</m:t>
                  </m:r>
                  <m:r>
                    <m:rPr>
                      <m:sty m:val="p"/>
                    </m:rPr>
                    <a:rPr lang="pt-BR" sz="1200" b="0" i="0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T</m:t>
                  </m:r>
                  <m:r>
                    <m:rPr>
                      <m:sty m:val="p"/>
                    </m:rPr>
                    <a:rPr lang="pt-BR" sz="12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MF</m:t>
                  </m:r>
                  <m:r>
                    <a:rPr lang="pt-BR" sz="1200" b="0" i="0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+</m:t>
                  </m:r>
                  <m:d>
                    <m:dPr>
                      <m:ctrlPr>
                        <a:rPr lang="pt-BR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f>
                        <m:fPr>
                          <m:ctrlPr>
                            <a:rPr lang="pt-BR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pt-BR" sz="12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2∗(</m:t>
                          </m:r>
                          <m:r>
                            <m:rPr>
                              <m:sty m:val="p"/>
                            </m:rPr>
                            <a:rPr lang="pt-BR" sz="12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TMF</m:t>
                          </m:r>
                          <m:r>
                            <a:rPr lang="pt-BR" sz="12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+225</m:t>
                          </m:r>
                          <m:r>
                            <a:rPr lang="pt-B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num>
                        <m:den>
                          <m:f>
                            <m:fPr>
                              <m:ctrlP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45700</m:t>
                              </m:r>
                            </m:num>
                            <m:den>
                              <m:sSup>
                                <m:sSupPr>
                                  <m:ctrlPr>
                                    <a:rPr lang="pt-BR" sz="12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pPr>
                                <m:e>
                                  <m:d>
                                    <m:dPr>
                                      <m:ctrlPr>
                                        <a:rPr lang="pt-BR" sz="12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dPr>
                                    <m:e>
                                      <m:f>
                                        <m:fPr>
                                          <m:ctrlPr>
                                            <a:rPr lang="pt-BR" sz="1200" b="0" i="1">
                                              <a:solidFill>
                                                <a:schemeClr val="tx1"/>
                                              </a:solidFill>
                                              <a:effectLst/>
                                              <a:latin typeface="Cambria Math" panose="02040503050406030204" pitchFamily="18" charset="0"/>
                                              <a:ea typeface="+mn-ea"/>
                                              <a:cs typeface="+mn-cs"/>
                                            </a:rPr>
                                          </m:ctrlPr>
                                        </m:fPr>
                                        <m:num>
                                          <m:r>
                                            <a:rPr lang="pt-BR" sz="1200" b="0" i="1">
                                              <a:solidFill>
                                                <a:schemeClr val="tx1"/>
                                              </a:solidFill>
                                              <a:effectLst/>
                                              <a:latin typeface="Cambria Math" panose="02040503050406030204" pitchFamily="18" charset="0"/>
                                              <a:ea typeface="+mn-ea"/>
                                              <a:cs typeface="+mn-cs"/>
                                            </a:rPr>
                                            <m:t>𝐼𝑐𝑐</m:t>
                                          </m:r>
                                        </m:num>
                                        <m:den>
                                          <m:r>
                                            <a:rPr lang="pt-BR" sz="1200" b="0" i="1">
                                              <a:solidFill>
                                                <a:schemeClr val="tx1"/>
                                              </a:solidFill>
                                              <a:effectLst/>
                                              <a:latin typeface="Cambria Math" panose="02040503050406030204" pitchFamily="18" charset="0"/>
                                              <a:ea typeface="+mn-ea"/>
                                              <a:cs typeface="+mn-cs"/>
                                            </a:rPr>
                                            <m:t>𝑆</m:t>
                                          </m:r>
                                        </m:den>
                                      </m:f>
                                    </m:e>
                                  </m:d>
                                </m:e>
                                <m:sup>
                                  <m:r>
                                    <a:rPr lang="pt-BR" sz="12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p>
                              </m:sSup>
                              <m: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∗</m:t>
                              </m:r>
                              <m: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pt-B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−1</m:t>
                          </m:r>
                        </m:den>
                      </m:f>
                    </m:e>
                  </m:d>
                </m:oMath>
              </a14:m>
              <a:endParaRPr lang="pt-BR" sz="1200">
                <a:effectLst/>
              </a:endParaRPr>
            </a:p>
          </xdr:txBody>
        </xdr:sp>
      </mc:Choice>
      <mc:Fallback xmlns="">
        <xdr:sp macro="" textlink="">
          <xdr:nvSpPr>
            <xdr:cNvPr id="13" name="CaixaDeTexto 12">
              <a:extLst>
                <a:ext uri="{FF2B5EF4-FFF2-40B4-BE49-F238E27FC236}">
                  <a16:creationId xmlns:a16="http://schemas.microsoft.com/office/drawing/2014/main" id="{A281344D-5BF4-42CE-BC57-A5BACF480AA8}"/>
                </a:ext>
              </a:extLst>
            </xdr:cNvPr>
            <xdr:cNvSpPr txBox="1"/>
          </xdr:nvSpPr>
          <xdr:spPr>
            <a:xfrm>
              <a:off x="1672828" y="35583179"/>
              <a:ext cx="2047876" cy="9928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20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Ɵ </a:t>
              </a:r>
              <a:r>
                <a:rPr lang="pt-BR" sz="12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=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T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MF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:r>
                <a:rPr lang="pt-BR" sz="12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((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2∗(TMF+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225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)/(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45700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/(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(𝐼𝑐𝑐/𝑆)^2∗𝑡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−1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))</a:t>
              </a:r>
              <a:endParaRPr lang="pt-BR" sz="1200">
                <a:effectLst/>
              </a:endParaRPr>
            </a:p>
          </xdr:txBody>
        </xdr:sp>
      </mc:Fallback>
    </mc:AlternateContent>
    <xdr:clientData/>
  </xdr:oneCellAnchor>
  <xdr:twoCellAnchor>
    <xdr:from>
      <xdr:col>14</xdr:col>
      <xdr:colOff>536806</xdr:colOff>
      <xdr:row>25</xdr:row>
      <xdr:rowOff>7182</xdr:rowOff>
    </xdr:from>
    <xdr:to>
      <xdr:col>24</xdr:col>
      <xdr:colOff>0</xdr:colOff>
      <xdr:row>51</xdr:row>
      <xdr:rowOff>122464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A47C731-DAB6-49A6-A99F-E52A46F543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538102</xdr:colOff>
      <xdr:row>67</xdr:row>
      <xdr:rowOff>84698</xdr:rowOff>
    </xdr:from>
    <xdr:to>
      <xdr:col>24</xdr:col>
      <xdr:colOff>13607</xdr:colOff>
      <xdr:row>95</xdr:row>
      <xdr:rowOff>136071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A1CF13A4-BA55-4D71-9E3C-A37998FD5B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59870</xdr:colOff>
      <xdr:row>253</xdr:row>
      <xdr:rowOff>43543</xdr:rowOff>
    </xdr:from>
    <xdr:to>
      <xdr:col>16</xdr:col>
      <xdr:colOff>489857</xdr:colOff>
      <xdr:row>261</xdr:row>
      <xdr:rowOff>143554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C8406E2-00B9-4FD8-9370-66580BF346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57632</xdr:colOff>
      <xdr:row>1</xdr:row>
      <xdr:rowOff>28817</xdr:rowOff>
    </xdr:from>
    <xdr:to>
      <xdr:col>2</xdr:col>
      <xdr:colOff>128279</xdr:colOff>
      <xdr:row>4</xdr:row>
      <xdr:rowOff>1869</xdr:rowOff>
    </xdr:to>
    <xdr:pic>
      <xdr:nvPicPr>
        <xdr:cNvPr id="4" name="u244_img" descr="BREENERGY - Brazilian Energy Efficiency">
          <a:extLst>
            <a:ext uri="{FF2B5EF4-FFF2-40B4-BE49-F238E27FC236}">
              <a16:creationId xmlns:a16="http://schemas.microsoft.com/office/drawing/2014/main" id="{F9455521-E61C-4FBF-AD4A-9F4D220A735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3152" b="16326"/>
        <a:stretch/>
      </xdr:blipFill>
      <xdr:spPr bwMode="auto">
        <a:xfrm>
          <a:off x="710775" y="205710"/>
          <a:ext cx="914290" cy="4949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367392</xdr:colOff>
      <xdr:row>18</xdr:row>
      <xdr:rowOff>14969</xdr:rowOff>
    </xdr:from>
    <xdr:to>
      <xdr:col>18</xdr:col>
      <xdr:colOff>666750</xdr:colOff>
      <xdr:row>30</xdr:row>
      <xdr:rowOff>110218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B7002396-5B1D-430C-BCE2-6968BA7E6F55}"/>
            </a:ext>
          </a:extLst>
        </xdr:cNvPr>
        <xdr:cNvSpPr txBox="1"/>
      </xdr:nvSpPr>
      <xdr:spPr>
        <a:xfrm>
          <a:off x="2517321" y="3199040"/>
          <a:ext cx="10314215" cy="22179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>
              <a:latin typeface="+mn-lt"/>
              <a:cs typeface="+mn-cs"/>
            </a:rPr>
            <a:t>	</a:t>
          </a:r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Durante o ensaio de Elevação de Temperatura é Injetada a corrente nominal no reator, até que sua temperatura estabilize.</a:t>
          </a:r>
        </a:p>
        <a:p>
          <a:pPr algn="l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	A</a:t>
          </a:r>
          <a:r>
            <a:rPr lang="pt-BR" sz="1400" baseline="0">
              <a:latin typeface="Arial" panose="020B0604020202020204" pitchFamily="34" charset="0"/>
              <a:cs typeface="Arial" panose="020B0604020202020204" pitchFamily="34" charset="0"/>
            </a:rPr>
            <a:t> estabilização ocorre quando a temperatura no corpo do reator varia menos que 1°C. Esta variação de temperatura é detectada por meio de sensores de temperatura posicionados ao longo do corpo do reator. A variação da temperatura ambiente também é Mensurada.</a:t>
          </a:r>
        </a:p>
        <a:p>
          <a:pPr algn="l"/>
          <a:r>
            <a:rPr lang="pt-BR" sz="1400" baseline="0">
              <a:latin typeface="Arial" panose="020B0604020202020204" pitchFamily="34" charset="0"/>
              <a:cs typeface="Arial" panose="020B0604020202020204" pitchFamily="34" charset="0"/>
            </a:rPr>
            <a:t>	Após detectada a estabilização o reator é desconectado do circuito e inicia-se a medição da curva de variação da resistência ôhmica pela temperatura do reator. A resistência diminui conforme a temperatura do reator decai.</a:t>
          </a:r>
        </a:p>
        <a:p>
          <a:pPr algn="l"/>
          <a:r>
            <a:rPr lang="pt-BR" sz="1400" baseline="0">
              <a:latin typeface="Arial" panose="020B0604020202020204" pitchFamily="34" charset="0"/>
              <a:cs typeface="Arial" panose="020B0604020202020204" pitchFamily="34" charset="0"/>
            </a:rPr>
            <a:t>	Com os valores adquiridos da curva de variação de resistência, é calculada a temperatura do reator no instante do desligamento, este valor é normalizado com a temperatura ambiente especificada pelo cliente, e é equivale a temperatura do reator em regime normal de trabalho.</a:t>
          </a:r>
        </a:p>
      </xdr:txBody>
    </xdr:sp>
    <xdr:clientData/>
  </xdr:twoCellAnchor>
  <xdr:oneCellAnchor>
    <xdr:from>
      <xdr:col>6</xdr:col>
      <xdr:colOff>228599</xdr:colOff>
      <xdr:row>267</xdr:row>
      <xdr:rowOff>107316</xdr:rowOff>
    </xdr:from>
    <xdr:ext cx="2324101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3AD5A733-3BA3-491D-A931-C632C57462E9}"/>
                </a:ext>
              </a:extLst>
            </xdr:cNvPr>
            <xdr:cNvSpPr txBox="1"/>
          </xdr:nvSpPr>
          <xdr:spPr>
            <a:xfrm>
              <a:off x="1724024" y="45046266"/>
              <a:ext cx="232410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>
                  <a:latin typeface="Arial" panose="020B0604020202020204" pitchFamily="34" charset="0"/>
                  <a:cs typeface="Arial" panose="020B0604020202020204" pitchFamily="34" charset="0"/>
                </a:rPr>
                <a:t>Ter</a:t>
              </a:r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14:m>
                <m:oMath xmlns:m="http://schemas.openxmlformats.org/officeDocument/2006/math">
                  <m:r>
                    <a:rPr lang="pt-BR" sz="1100" i="0">
                      <a:latin typeface="Cambria Math"/>
                    </a:rPr>
                    <m:t>=</m:t>
                  </m:r>
                  <m:d>
                    <m:dPr>
                      <m:ctrlPr>
                        <a:rPr lang="pt-BR" sz="1100" i="1">
                          <a:latin typeface="Cambria Math" panose="02040503050406030204" pitchFamily="18" charset="0"/>
                        </a:rPr>
                      </m:ctrlPr>
                    </m:dPr>
                    <m:e>
                      <m:f>
                        <m:fPr>
                          <m:ctrlPr>
                            <a:rPr lang="pt-BR" sz="110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R</m:t>
                          </m:r>
                          <m:r>
                            <a:rPr lang="pt-BR" sz="1100" b="0" i="0">
                              <a:latin typeface="Cambria Math"/>
                            </a:rPr>
                            <m:t>2</m:t>
                          </m:r>
                        </m:num>
                        <m:den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R</m:t>
                          </m:r>
                          <m:r>
                            <a:rPr lang="pt-BR" sz="1100" b="0" i="0">
                              <a:latin typeface="Cambria Math"/>
                            </a:rPr>
                            <m:t>1</m:t>
                          </m:r>
                        </m:den>
                      </m:f>
                      <m:r>
                        <a:rPr lang="pt-BR" sz="1100" b="0" i="0">
                          <a:latin typeface="Cambria Math"/>
                        </a:rPr>
                        <m:t>  ∗ </m:t>
                      </m:r>
                      <m:d>
                        <m:dPr>
                          <m:ctrlPr>
                            <a:rPr lang="pt-BR" sz="11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pt-BR" sz="1100" b="0" i="0">
                              <a:latin typeface="Cambria Math"/>
                            </a:rPr>
                            <m:t>225+</m:t>
                          </m:r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T</m:t>
                          </m:r>
                          <m:r>
                            <a:rPr lang="pt-BR" sz="1100" b="0" i="0">
                              <a:latin typeface="Cambria Math"/>
                            </a:rPr>
                            <m:t>1</m:t>
                          </m:r>
                        </m:e>
                      </m:d>
                    </m:e>
                  </m:d>
                  <m:r>
                    <a:rPr lang="pt-BR" sz="1100" b="0" i="0">
                      <a:latin typeface="Cambria Math"/>
                    </a:rPr>
                    <m:t>−225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3AD5A733-3BA3-491D-A931-C632C57462E9}"/>
                </a:ext>
              </a:extLst>
            </xdr:cNvPr>
            <xdr:cNvSpPr txBox="1"/>
          </xdr:nvSpPr>
          <xdr:spPr>
            <a:xfrm>
              <a:off x="1724024" y="45046266"/>
              <a:ext cx="232410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>
                  <a:latin typeface="Arial" panose="020B0604020202020204" pitchFamily="34" charset="0"/>
                  <a:cs typeface="Arial" panose="020B0604020202020204" pitchFamily="34" charset="0"/>
                </a:rPr>
                <a:t>Ter</a:t>
              </a:r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 </a:t>
              </a:r>
              <a:r>
                <a:rPr lang="pt-BR" sz="1100" i="0">
                  <a:latin typeface="Cambria Math"/>
                </a:rPr>
                <a:t>=</a:t>
              </a:r>
              <a:r>
                <a:rPr lang="pt-BR" sz="1100" i="0">
                  <a:latin typeface="Cambria Math" panose="02040503050406030204" pitchFamily="18" charset="0"/>
                </a:rPr>
                <a:t>(</a:t>
              </a:r>
              <a:r>
                <a:rPr lang="pt-BR" sz="1100" b="0" i="0">
                  <a:latin typeface="Cambria Math"/>
                </a:rPr>
                <a:t>R2</a:t>
              </a:r>
              <a:r>
                <a:rPr lang="pt-BR" sz="1100" b="0" i="0">
                  <a:latin typeface="Cambria Math" panose="02040503050406030204" pitchFamily="18" charset="0"/>
                </a:rPr>
                <a:t>/</a:t>
              </a:r>
              <a:r>
                <a:rPr lang="pt-BR" sz="1100" b="0" i="0">
                  <a:latin typeface="Cambria Math"/>
                </a:rPr>
                <a:t>R1   ∗ </a:t>
              </a:r>
              <a:r>
                <a:rPr lang="pt-BR" sz="1100" b="0" i="0">
                  <a:latin typeface="Cambria Math" panose="02040503050406030204" pitchFamily="18" charset="0"/>
                </a:rPr>
                <a:t>(</a:t>
              </a:r>
              <a:r>
                <a:rPr lang="pt-BR" sz="1100" b="0" i="0">
                  <a:latin typeface="Cambria Math"/>
                </a:rPr>
                <a:t>225+T1</a:t>
              </a:r>
              <a:r>
                <a:rPr lang="pt-BR" sz="1100" b="0" i="0">
                  <a:latin typeface="Cambria Math" panose="02040503050406030204" pitchFamily="18" charset="0"/>
                </a:rPr>
                <a:t>))</a:t>
              </a:r>
              <a:r>
                <a:rPr lang="pt-BR" sz="1100" b="0" i="0">
                  <a:latin typeface="Cambria Math"/>
                </a:rPr>
                <a:t>−225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oneCellAnchor>
    <xdr:from>
      <xdr:col>7</xdr:col>
      <xdr:colOff>76199</xdr:colOff>
      <xdr:row>277</xdr:row>
      <xdr:rowOff>12066</xdr:rowOff>
    </xdr:from>
    <xdr:ext cx="1123951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A1F42DD6-77F8-4A22-9F97-D39927A61866}"/>
                </a:ext>
              </a:extLst>
            </xdr:cNvPr>
            <xdr:cNvSpPr txBox="1"/>
          </xdr:nvSpPr>
          <xdr:spPr>
            <a:xfrm>
              <a:off x="2219324" y="46665516"/>
              <a:ext cx="11239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 </a:t>
              </a:r>
              <a14:m>
                <m:oMath xmlns:m="http://schemas.openxmlformats.org/officeDocument/2006/math">
                  <m:r>
                    <a:rPr lang="pt-BR" sz="1100" i="0">
                      <a:latin typeface="Cambria Math"/>
                    </a:rPr>
                    <m:t>=</m:t>
                  </m:r>
                  <m:r>
                    <m:rPr>
                      <m:sty m:val="p"/>
                    </m:rPr>
                    <a:rPr lang="pt-BR" sz="1100" b="0" i="1">
                      <a:latin typeface="Cambria Math"/>
                    </a:rPr>
                    <m:t>Ter</m:t>
                  </m:r>
                  <m:r>
                    <a:rPr lang="pt-BR" sz="1100" b="0" i="0">
                      <a:latin typeface="Cambria Math"/>
                    </a:rPr>
                    <m:t> −</m:t>
                  </m:r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T</m:t>
                  </m:r>
                  <m:r>
                    <a:rPr lang="pt-BR" sz="1100" b="0" i="0">
                      <a:latin typeface="Cambria Math"/>
                    </a:rPr>
                    <m:t>2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A1F42DD6-77F8-4A22-9F97-D39927A61866}"/>
                </a:ext>
              </a:extLst>
            </xdr:cNvPr>
            <xdr:cNvSpPr txBox="1"/>
          </xdr:nvSpPr>
          <xdr:spPr>
            <a:xfrm>
              <a:off x="2219324" y="46665516"/>
              <a:ext cx="11239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 </a:t>
              </a:r>
              <a:r>
                <a:rPr lang="pt-BR" sz="1100" i="0">
                  <a:latin typeface="Cambria Math"/>
                </a:rPr>
                <a:t>=</a:t>
              </a:r>
              <a:r>
                <a:rPr lang="pt-BR" sz="1100" b="0" i="0">
                  <a:latin typeface="Cambria Math"/>
                </a:rPr>
                <a:t>Ter −T2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oneCellAnchor>
    <xdr:from>
      <xdr:col>6</xdr:col>
      <xdr:colOff>257174</xdr:colOff>
      <xdr:row>286</xdr:row>
      <xdr:rowOff>107316</xdr:rowOff>
    </xdr:from>
    <xdr:ext cx="2114551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4C611DE5-49FF-4B85-8761-D24832A53CC9}"/>
                </a:ext>
              </a:extLst>
            </xdr:cNvPr>
            <xdr:cNvSpPr txBox="1"/>
          </xdr:nvSpPr>
          <xdr:spPr>
            <a:xfrm>
              <a:off x="1752599" y="48303816"/>
              <a:ext cx="21145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TMF </a:t>
              </a:r>
              <a14:m>
                <m:oMath xmlns:m="http://schemas.openxmlformats.org/officeDocument/2006/math">
                  <m:r>
                    <a:rPr lang="pt-BR" sz="1100" i="0">
                      <a:latin typeface="Cambria Math"/>
                    </a:rPr>
                    <m:t>=</m:t>
                  </m:r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Tref</m:t>
                  </m:r>
                  <m:r>
                    <a:rPr lang="pt-BR" sz="1100" b="0" i="0">
                      <a:latin typeface="Cambria Math"/>
                    </a:rPr>
                    <m:t>+</m:t>
                  </m:r>
                  <m:d>
                    <m:dPr>
                      <m:ctrlPr>
                        <a:rPr lang="pt-BR" sz="1100" i="1">
                          <a:latin typeface="Cambria Math" panose="02040503050406030204" pitchFamily="18" charset="0"/>
                        </a:rPr>
                      </m:ctrlPr>
                    </m:dPr>
                    <m:e>
                      <m:f>
                        <m:fPr>
                          <m:ctrlPr>
                            <a:rPr lang="pt-BR" sz="110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pt-BR" sz="1100" b="0" i="0">
                              <a:latin typeface="Cambria Math"/>
                            </a:rPr>
                            <m:t>225+</m:t>
                          </m:r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Tref</m:t>
                          </m:r>
                        </m:num>
                        <m:den>
                          <m:r>
                            <a:rPr lang="pt-BR" sz="1100" b="0" i="0">
                              <a:latin typeface="Cambria Math"/>
                            </a:rPr>
                            <m:t>225+</m:t>
                          </m:r>
                          <m:r>
                            <m:rPr>
                              <m:sty m:val="p"/>
                            </m:rPr>
                            <a:rPr lang="pt-BR" sz="1100" b="0" i="0">
                              <a:latin typeface="Cambria Math"/>
                            </a:rPr>
                            <m:t>T</m:t>
                          </m:r>
                          <m:r>
                            <a:rPr lang="pt-BR" sz="1100" b="0" i="0">
                              <a:latin typeface="Cambria Math"/>
                            </a:rPr>
                            <m:t>2</m:t>
                          </m:r>
                        </m:den>
                      </m:f>
                    </m:e>
                  </m:d>
                  <m:r>
                    <a:rPr lang="pt-BR" sz="1100" b="0" i="0">
                      <a:latin typeface="Cambria Math"/>
                    </a:rPr>
                    <m:t> ∗</m:t>
                  </m:r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DT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4C611DE5-49FF-4B85-8761-D24832A53CC9}"/>
                </a:ext>
              </a:extLst>
            </xdr:cNvPr>
            <xdr:cNvSpPr txBox="1"/>
          </xdr:nvSpPr>
          <xdr:spPr>
            <a:xfrm>
              <a:off x="1752599" y="48303816"/>
              <a:ext cx="2114551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TMF </a:t>
              </a:r>
              <a:r>
                <a:rPr lang="pt-BR" sz="1100" i="0">
                  <a:latin typeface="Cambria Math"/>
                </a:rPr>
                <a:t>=</a:t>
              </a:r>
              <a:r>
                <a:rPr lang="pt-BR" sz="1100" b="0" i="0">
                  <a:latin typeface="Cambria Math"/>
                </a:rPr>
                <a:t>Tref+</a:t>
              </a:r>
              <a:r>
                <a:rPr lang="pt-BR" sz="1100" i="0">
                  <a:latin typeface="Cambria Math" panose="02040503050406030204" pitchFamily="18" charset="0"/>
                </a:rPr>
                <a:t>((</a:t>
              </a:r>
              <a:r>
                <a:rPr lang="pt-BR" sz="1100" b="0" i="0">
                  <a:latin typeface="Cambria Math"/>
                </a:rPr>
                <a:t>225+Tref</a:t>
              </a:r>
              <a:r>
                <a:rPr lang="pt-BR" sz="1100" b="0" i="0">
                  <a:latin typeface="Cambria Math" panose="02040503050406030204" pitchFamily="18" charset="0"/>
                </a:rPr>
                <a:t>)/(</a:t>
              </a:r>
              <a:r>
                <a:rPr lang="pt-BR" sz="1100" b="0" i="0">
                  <a:latin typeface="Cambria Math"/>
                </a:rPr>
                <a:t>225+T2</a:t>
              </a:r>
              <a:r>
                <a:rPr lang="pt-BR" sz="1100" b="0" i="0">
                  <a:latin typeface="Cambria Math" panose="02040503050406030204" pitchFamily="18" charset="0"/>
                </a:rPr>
                <a:t>))</a:t>
              </a:r>
              <a:r>
                <a:rPr lang="pt-BR" sz="1100" b="0" i="0">
                  <a:latin typeface="Cambria Math"/>
                </a:rPr>
                <a:t>  ∗DT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twoCellAnchor>
    <xdr:from>
      <xdr:col>4</xdr:col>
      <xdr:colOff>100854</xdr:colOff>
      <xdr:row>315</xdr:row>
      <xdr:rowOff>57150</xdr:rowOff>
    </xdr:from>
    <xdr:to>
      <xdr:col>18</xdr:col>
      <xdr:colOff>470648</xdr:colOff>
      <xdr:row>319</xdr:row>
      <xdr:rowOff>104775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89ABE091-1F8C-4764-A034-38D386E887B7}"/>
            </a:ext>
          </a:extLst>
        </xdr:cNvPr>
        <xdr:cNvSpPr txBox="1"/>
      </xdr:nvSpPr>
      <xdr:spPr>
        <a:xfrm>
          <a:off x="2902325" y="58406179"/>
          <a:ext cx="9659470" cy="9440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>
              <a:latin typeface="+mn-lt"/>
              <a:cs typeface="+mn-cs"/>
            </a:rPr>
            <a:t>	</a:t>
          </a:r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Com</a:t>
          </a:r>
          <a:r>
            <a:rPr lang="pt-BR" sz="1400" baseline="0">
              <a:latin typeface="Arial" panose="020B0604020202020204" pitchFamily="34" charset="0"/>
              <a:cs typeface="Arial" panose="020B0604020202020204" pitchFamily="34" charset="0"/>
            </a:rPr>
            <a:t> base nos valores de temperatura calculados podemos afirmar que o Reator de Núcleo de Ar Bree, foi considerado aprovado no ensaio de Elevação de Temperatura. E se mantem adequado quanto a temperatura após o curto-circuito, conforme estabelecido na NBR-5356-05 item 4.1.5</a:t>
          </a:r>
        </a:p>
      </xdr:txBody>
    </xdr:sp>
    <xdr:clientData/>
  </xdr:twoCellAnchor>
  <xdr:oneCellAnchor>
    <xdr:from>
      <xdr:col>6</xdr:col>
      <xdr:colOff>571500</xdr:colOff>
      <xdr:row>296</xdr:row>
      <xdr:rowOff>78741</xdr:rowOff>
    </xdr:from>
    <xdr:ext cx="1419226" cy="673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29B7F6C2-5CC2-4280-883B-52C4A435982B}"/>
                </a:ext>
              </a:extLst>
            </xdr:cNvPr>
            <xdr:cNvSpPr txBox="1"/>
          </xdr:nvSpPr>
          <xdr:spPr>
            <a:xfrm>
              <a:off x="2066925" y="50065941"/>
              <a:ext cx="1419226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DTref = TMF - </a:t>
              </a:r>
              <a14:m>
                <m:oMath xmlns:m="http://schemas.openxmlformats.org/officeDocument/2006/math">
                  <m:r>
                    <m:rPr>
                      <m:sty m:val="p"/>
                    </m:rPr>
                    <a:rPr lang="pt-BR" sz="1100" b="0" i="0">
                      <a:latin typeface="Cambria Math"/>
                    </a:rPr>
                    <m:t>Tref</m:t>
                  </m:r>
                </m:oMath>
              </a14:m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29B7F6C2-5CC2-4280-883B-52C4A435982B}"/>
                </a:ext>
              </a:extLst>
            </xdr:cNvPr>
            <xdr:cNvSpPr txBox="1"/>
          </xdr:nvSpPr>
          <xdr:spPr>
            <a:xfrm>
              <a:off x="2066925" y="50065941"/>
              <a:ext cx="1419226" cy="673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100" i="0" baseline="0">
                  <a:latin typeface="Arial" panose="020B0604020202020204" pitchFamily="34" charset="0"/>
                  <a:cs typeface="Arial" panose="020B0604020202020204" pitchFamily="34" charset="0"/>
                </a:rPr>
                <a:t>DTref = TMF - </a:t>
              </a:r>
              <a:r>
                <a:rPr lang="pt-BR" sz="1100" b="0" i="0">
                  <a:latin typeface="Cambria Math"/>
                </a:rPr>
                <a:t>Tref</a:t>
              </a:r>
              <a:endParaRPr lang="pt-BR" sz="1100" i="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oneCellAnchor>
    <xdr:from>
      <xdr:col>6</xdr:col>
      <xdr:colOff>375047</xdr:colOff>
      <xdr:row>305</xdr:row>
      <xdr:rowOff>78741</xdr:rowOff>
    </xdr:from>
    <xdr:ext cx="2047876" cy="9928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16F22297-8885-4534-A34F-39CE8EEB1AC3}"/>
                </a:ext>
              </a:extLst>
            </xdr:cNvPr>
            <xdr:cNvSpPr txBox="1"/>
          </xdr:nvSpPr>
          <xdr:spPr>
            <a:xfrm>
              <a:off x="1870472" y="51761391"/>
              <a:ext cx="2047876" cy="9928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20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Ɵ </a:t>
              </a:r>
              <a14:m>
                <m:oMath xmlns:m="http://schemas.openxmlformats.org/officeDocument/2006/math">
                  <m:r>
                    <a:rPr lang="pt-BR" sz="1200" i="0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=</m:t>
                  </m:r>
                  <m:r>
                    <m:rPr>
                      <m:sty m:val="p"/>
                    </m:rPr>
                    <a:rPr lang="pt-BR" sz="1200" b="0" i="0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T</m:t>
                  </m:r>
                  <m:r>
                    <m:rPr>
                      <m:sty m:val="p"/>
                    </m:rPr>
                    <a:rPr lang="pt-BR" sz="12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MF</m:t>
                  </m:r>
                  <m:r>
                    <a:rPr lang="pt-BR" sz="1200" b="0" i="0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+</m:t>
                  </m:r>
                  <m:d>
                    <m:dPr>
                      <m:ctrlPr>
                        <a:rPr lang="pt-BR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f>
                        <m:fPr>
                          <m:ctrlPr>
                            <a:rPr lang="pt-BR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r>
                            <a:rPr lang="pt-BR" sz="12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2∗(</m:t>
                          </m:r>
                          <m:r>
                            <m:rPr>
                              <m:sty m:val="p"/>
                            </m:rPr>
                            <a:rPr lang="pt-BR" sz="12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TMF</m:t>
                          </m:r>
                          <m:r>
                            <a:rPr lang="pt-BR" sz="12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+225</m:t>
                          </m:r>
                          <m:r>
                            <a:rPr lang="pt-B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</m:num>
                        <m:den>
                          <m:f>
                            <m:fPr>
                              <m:ctrlP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fPr>
                            <m:num>
                              <m: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45700</m:t>
                              </m:r>
                            </m:num>
                            <m:den>
                              <m:sSup>
                                <m:sSupPr>
                                  <m:ctrlPr>
                                    <a:rPr lang="pt-BR" sz="12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pPr>
                                <m:e>
                                  <m:d>
                                    <m:dPr>
                                      <m:ctrlPr>
                                        <a:rPr lang="pt-BR" sz="12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dPr>
                                    <m:e>
                                      <m:f>
                                        <m:fPr>
                                          <m:ctrlPr>
                                            <a:rPr lang="pt-BR" sz="1200" b="0" i="1">
                                              <a:solidFill>
                                                <a:schemeClr val="tx1"/>
                                              </a:solidFill>
                                              <a:effectLst/>
                                              <a:latin typeface="Cambria Math" panose="02040503050406030204" pitchFamily="18" charset="0"/>
                                              <a:ea typeface="+mn-ea"/>
                                              <a:cs typeface="+mn-cs"/>
                                            </a:rPr>
                                          </m:ctrlPr>
                                        </m:fPr>
                                        <m:num>
                                          <m:r>
                                            <a:rPr lang="pt-BR" sz="1200" b="0" i="1">
                                              <a:solidFill>
                                                <a:schemeClr val="tx1"/>
                                              </a:solidFill>
                                              <a:effectLst/>
                                              <a:latin typeface="Cambria Math" panose="02040503050406030204" pitchFamily="18" charset="0"/>
                                              <a:ea typeface="+mn-ea"/>
                                              <a:cs typeface="+mn-cs"/>
                                            </a:rPr>
                                            <m:t>𝐼𝑐𝑐</m:t>
                                          </m:r>
                                        </m:num>
                                        <m:den>
                                          <m:r>
                                            <a:rPr lang="pt-BR" sz="1200" b="0" i="1">
                                              <a:solidFill>
                                                <a:schemeClr val="tx1"/>
                                              </a:solidFill>
                                              <a:effectLst/>
                                              <a:latin typeface="Cambria Math" panose="02040503050406030204" pitchFamily="18" charset="0"/>
                                              <a:ea typeface="+mn-ea"/>
                                              <a:cs typeface="+mn-cs"/>
                                            </a:rPr>
                                            <m:t>𝑆</m:t>
                                          </m:r>
                                        </m:den>
                                      </m:f>
                                    </m:e>
                                  </m:d>
                                </m:e>
                                <m:sup>
                                  <m:r>
                                    <a:rPr lang="pt-BR" sz="12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p>
                              </m:sSup>
                              <m: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∗</m:t>
                              </m:r>
                              <m:r>
                                <a:rPr lang="pt-BR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</m:t>
                              </m:r>
                            </m:den>
                          </m:f>
                          <m:r>
                            <a:rPr lang="pt-BR" sz="12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−1</m:t>
                          </m:r>
                        </m:den>
                      </m:f>
                    </m:e>
                  </m:d>
                </m:oMath>
              </a14:m>
              <a:endParaRPr lang="pt-BR" sz="1200">
                <a:effectLst/>
              </a:endParaRPr>
            </a:p>
          </xdr:txBody>
        </xdr:sp>
      </mc:Choice>
      <mc:Fallback xmlns=""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16F22297-8885-4534-A34F-39CE8EEB1AC3}"/>
                </a:ext>
              </a:extLst>
            </xdr:cNvPr>
            <xdr:cNvSpPr txBox="1"/>
          </xdr:nvSpPr>
          <xdr:spPr>
            <a:xfrm>
              <a:off x="1870472" y="51761391"/>
              <a:ext cx="2047876" cy="9928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r>
                <a:rPr lang="pt-BR" sz="1200" i="0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Ɵ </a:t>
              </a:r>
              <a:r>
                <a:rPr lang="pt-BR" sz="12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=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T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MF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+</a:t>
              </a:r>
              <a:r>
                <a:rPr lang="pt-BR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</a:t>
              </a:r>
              <a:r>
                <a:rPr lang="pt-B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2∗(TMF+225))/(45700/((𝐼𝑐𝑐/𝑆)^2∗𝑡)  −1))</a:t>
              </a:r>
              <a:endParaRPr lang="pt-BR" sz="1200">
                <a:effectLst/>
              </a:endParaRPr>
            </a:p>
          </xdr:txBody>
        </xdr:sp>
      </mc:Fallback>
    </mc:AlternateContent>
    <xdr:clientData/>
  </xdr:oneCellAnchor>
  <xdr:twoCellAnchor>
    <xdr:from>
      <xdr:col>22</xdr:col>
      <xdr:colOff>517072</xdr:colOff>
      <xdr:row>25</xdr:row>
      <xdr:rowOff>43543</xdr:rowOff>
    </xdr:from>
    <xdr:to>
      <xdr:col>40</xdr:col>
      <xdr:colOff>27214</xdr:colOff>
      <xdr:row>51</xdr:row>
      <xdr:rowOff>108857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F8FE5E42-9182-44DE-96B5-795A4FFA6A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537481</xdr:colOff>
      <xdr:row>67</xdr:row>
      <xdr:rowOff>97970</xdr:rowOff>
    </xdr:from>
    <xdr:to>
      <xdr:col>40</xdr:col>
      <xdr:colOff>13606</xdr:colOff>
      <xdr:row>91</xdr:row>
      <xdr:rowOff>13606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74A638DE-A4E6-4885-A052-2E7046E8AF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580157</xdr:colOff>
      <xdr:row>211</xdr:row>
      <xdr:rowOff>13855</xdr:rowOff>
    </xdr:from>
    <xdr:to>
      <xdr:col>20</xdr:col>
      <xdr:colOff>17318</xdr:colOff>
      <xdr:row>229</xdr:row>
      <xdr:rowOff>121228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5E4A6FDD-CF14-48D1-8C22-4D92AB8624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pageSetUpPr fitToPage="1"/>
  </sheetPr>
  <dimension ref="B1:AQ336"/>
  <sheetViews>
    <sheetView tabSelected="1" zoomScale="70" zoomScaleNormal="70" workbookViewId="0">
      <selection activeCell="AD39" sqref="AD39"/>
    </sheetView>
  </sheetViews>
  <sheetFormatPr defaultColWidth="9.140625" defaultRowHeight="14.25"/>
  <cols>
    <col min="1" max="1" width="9.7109375" style="13" customWidth="1"/>
    <col min="2" max="2" width="12.7109375" style="13" customWidth="1"/>
    <col min="3" max="12" width="9.7109375" style="13" customWidth="1"/>
    <col min="13" max="13" width="11" style="13" customWidth="1"/>
    <col min="14" max="14" width="10.140625" style="13" customWidth="1"/>
    <col min="15" max="15" width="9.7109375" style="141" customWidth="1"/>
    <col min="16" max="16" width="8.28515625" style="141" customWidth="1"/>
    <col min="17" max="25" width="8.28515625" style="13" customWidth="1"/>
    <col min="26" max="26" width="13.85546875" style="13" customWidth="1"/>
    <col min="27" max="27" width="8.28515625" style="13" customWidth="1"/>
    <col min="28" max="28" width="9.85546875" style="13" bestFit="1" customWidth="1"/>
    <col min="29" max="29" width="8.28515625" style="13" customWidth="1"/>
    <col min="30" max="16384" width="9.140625" style="13"/>
  </cols>
  <sheetData>
    <row r="1" spans="2:43" ht="14.1" customHeight="1" thickBot="1">
      <c r="P1" s="13"/>
      <c r="AJ1" s="141"/>
      <c r="AK1" s="141"/>
    </row>
    <row r="2" spans="2:43" ht="14.1" customHeight="1">
      <c r="B2" s="43" t="s">
        <v>18</v>
      </c>
      <c r="C2" s="44"/>
      <c r="D2" s="212" t="s">
        <v>53</v>
      </c>
      <c r="E2" s="213"/>
      <c r="F2" s="213"/>
      <c r="G2" s="213"/>
      <c r="H2" s="213"/>
      <c r="I2" s="213"/>
      <c r="J2" s="213"/>
      <c r="K2" s="213"/>
      <c r="L2" s="213"/>
      <c r="M2" s="213"/>
      <c r="N2" s="214"/>
      <c r="P2" s="166" t="s">
        <v>112</v>
      </c>
      <c r="Q2" s="167"/>
      <c r="R2" s="167"/>
      <c r="S2" s="167"/>
      <c r="T2" s="167"/>
      <c r="U2" s="167"/>
      <c r="V2" s="168"/>
      <c r="W2" s="168"/>
      <c r="X2" s="169"/>
      <c r="AJ2" s="141"/>
      <c r="AK2" s="141"/>
    </row>
    <row r="3" spans="2:43" ht="14.1" customHeight="1">
      <c r="B3" s="45"/>
      <c r="C3" s="18"/>
      <c r="D3" s="215"/>
      <c r="E3" s="215"/>
      <c r="F3" s="215"/>
      <c r="G3" s="215"/>
      <c r="H3" s="215"/>
      <c r="I3" s="215"/>
      <c r="J3" s="215"/>
      <c r="K3" s="215"/>
      <c r="L3" s="215"/>
      <c r="M3" s="215"/>
      <c r="N3" s="216"/>
      <c r="P3" s="166" t="s">
        <v>2</v>
      </c>
      <c r="Q3" s="167"/>
      <c r="R3" s="167"/>
      <c r="S3" s="167"/>
      <c r="T3" s="167"/>
      <c r="U3" s="167"/>
      <c r="V3" s="170" t="s">
        <v>0</v>
      </c>
      <c r="W3" s="171"/>
      <c r="X3" s="172"/>
      <c r="AJ3" s="141"/>
      <c r="AK3" s="141"/>
    </row>
    <row r="4" spans="2:43" ht="14.1" customHeight="1" thickBot="1">
      <c r="B4" s="45"/>
      <c r="C4" s="18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8"/>
      <c r="P4" s="36" t="s">
        <v>1</v>
      </c>
      <c r="Q4" s="17" t="s">
        <v>3</v>
      </c>
      <c r="R4" s="17" t="s">
        <v>4</v>
      </c>
      <c r="S4" s="17" t="s">
        <v>5</v>
      </c>
      <c r="T4" s="17" t="s">
        <v>6</v>
      </c>
      <c r="U4" s="17" t="s">
        <v>7</v>
      </c>
      <c r="V4" s="17" t="s">
        <v>8</v>
      </c>
      <c r="W4" s="17" t="s">
        <v>9</v>
      </c>
      <c r="X4" s="17" t="s">
        <v>10</v>
      </c>
      <c r="AJ4" s="141"/>
      <c r="AK4" s="141"/>
      <c r="AL4" s="141">
        <v>33.5</v>
      </c>
      <c r="AM4" s="141"/>
      <c r="AN4" s="141"/>
      <c r="AO4" s="141"/>
      <c r="AP4" s="141"/>
      <c r="AQ4" s="141"/>
    </row>
    <row r="5" spans="2:43" ht="14.1" customHeight="1" thickTop="1">
      <c r="B5" s="226" t="s">
        <v>19</v>
      </c>
      <c r="C5" s="227"/>
      <c r="D5" s="3" t="s">
        <v>135</v>
      </c>
      <c r="E5" s="19"/>
      <c r="F5" s="3"/>
      <c r="G5" s="20"/>
      <c r="H5" s="4" t="s">
        <v>20</v>
      </c>
      <c r="I5" s="3">
        <f>COLUMN()</f>
        <v>9</v>
      </c>
      <c r="J5" s="20"/>
      <c r="K5" s="20"/>
      <c r="L5" s="4"/>
      <c r="M5" s="4" t="s">
        <v>113</v>
      </c>
      <c r="N5" s="46">
        <f>COLUMN()</f>
        <v>14</v>
      </c>
      <c r="P5" s="16" t="s">
        <v>106</v>
      </c>
      <c r="Q5" s="372">
        <f>MEDIAN(E88:E94)-E88-(MEDIAN($J$88:$L$94)-MEDIAN($J$88:$L$88))</f>
        <v>0</v>
      </c>
      <c r="R5" s="372">
        <f>MEDIAN(F88:F94)-F88-(MEDIAN($J$88:$L$94)-MEDIAN($J$88:$L$88))</f>
        <v>0</v>
      </c>
      <c r="S5" s="372">
        <f>MEDIAN(G88:G94)-G88-(MEDIAN($J$88:$L$94)-MEDIAN($J$88:$L$88))</f>
        <v>0</v>
      </c>
      <c r="T5" s="372">
        <f>MEDIAN(H88:H94)-H88-(MEDIAN($J$88:$L$94)-MEDIAN($J$88:$L$88))</f>
        <v>0</v>
      </c>
      <c r="U5" s="372">
        <f>MEDIAN(I88:I94)-I88-(MEDIAN($J$88:$L$94)-MEDIAN($J$88:$L$88))</f>
        <v>0</v>
      </c>
      <c r="V5" s="372">
        <f>MEDIAN(J88:J94)-J88</f>
        <v>3</v>
      </c>
      <c r="W5" s="372">
        <f>MEDIAN(K88:K94)-K88</f>
        <v>3</v>
      </c>
      <c r="X5" s="372">
        <f>MEDIAN(L88:L94)-L88</f>
        <v>3</v>
      </c>
      <c r="AJ5" s="141"/>
      <c r="AK5" s="141"/>
      <c r="AL5" s="141">
        <f>AL4*1.1</f>
        <v>36.85</v>
      </c>
      <c r="AM5" s="141"/>
      <c r="AN5" s="141"/>
      <c r="AO5" s="141"/>
      <c r="AP5" s="141"/>
      <c r="AQ5" s="141"/>
    </row>
    <row r="6" spans="2:43" ht="14.1" customHeight="1">
      <c r="B6" s="228" t="s">
        <v>21</v>
      </c>
      <c r="C6" s="229"/>
      <c r="D6" s="73" t="s">
        <v>75</v>
      </c>
      <c r="E6" s="10"/>
      <c r="F6" s="5"/>
      <c r="G6" s="11"/>
      <c r="H6" s="6" t="s">
        <v>22</v>
      </c>
      <c r="I6" s="73" t="s">
        <v>77</v>
      </c>
      <c r="J6" s="11"/>
      <c r="K6" s="11"/>
      <c r="L6" s="7"/>
      <c r="M6" s="6" t="s">
        <v>23</v>
      </c>
      <c r="N6" s="46">
        <v>1</v>
      </c>
      <c r="P6" s="16" t="s">
        <v>107</v>
      </c>
      <c r="Q6" s="372">
        <f>MEDIAN(E94:E100)-E94-(MEDIAN($J$94:$L$100)-MEDIAN($J$94:$L$94))</f>
        <v>0</v>
      </c>
      <c r="R6" s="372">
        <f>MEDIAN(F94:F100)-F94-(MEDIAN($J$94:$L$100)-MEDIAN($J$94:$L$94))</f>
        <v>0</v>
      </c>
      <c r="S6" s="372">
        <f>MEDIAN(G94:G100)-G94-(MEDIAN($J$94:$L$100)-MEDIAN($J$94:$L$94))</f>
        <v>0</v>
      </c>
      <c r="T6" s="372">
        <f>MEDIAN(H94:H100)-H94-(MEDIAN($J$94:$L$100)-MEDIAN($J$94:$L$94))</f>
        <v>0</v>
      </c>
      <c r="U6" s="372">
        <f>MEDIAN(I94:I100)-I94-(MEDIAN($J$94:$L$100)-MEDIAN($J$94:$L$94))</f>
        <v>0</v>
      </c>
      <c r="V6" s="372">
        <f>MEDIAN(J94:J100)-J94</f>
        <v>3</v>
      </c>
      <c r="W6" s="372">
        <f>MEDIAN(K94:K100)-K94</f>
        <v>3</v>
      </c>
      <c r="X6" s="372">
        <f>MEDIAN(L94:L100)-L94</f>
        <v>3</v>
      </c>
      <c r="AJ6" s="141"/>
      <c r="AK6" s="141"/>
      <c r="AL6" s="141"/>
      <c r="AM6" s="141"/>
      <c r="AN6" s="141"/>
      <c r="AO6" s="141"/>
      <c r="AP6" s="141"/>
      <c r="AQ6" s="141"/>
    </row>
    <row r="7" spans="2:43" ht="14.1" customHeight="1">
      <c r="B7" s="228" t="s">
        <v>24</v>
      </c>
      <c r="C7" s="229"/>
      <c r="D7" s="5" t="s">
        <v>136</v>
      </c>
      <c r="E7" s="10"/>
      <c r="F7" s="7"/>
      <c r="G7" s="11"/>
      <c r="H7" s="8" t="s">
        <v>25</v>
      </c>
      <c r="I7" s="5" t="s">
        <v>76</v>
      </c>
      <c r="J7" s="11"/>
      <c r="K7" s="11"/>
      <c r="L7" s="7"/>
      <c r="M7" s="6" t="s">
        <v>26</v>
      </c>
      <c r="N7" s="47">
        <v>19035</v>
      </c>
      <c r="P7" s="16" t="s">
        <v>108</v>
      </c>
      <c r="Q7" s="372">
        <f>MEDIAN(E100:E106)-E100-(MEDIAN($J$100:$L$106)-MEDIAN($J$100:$L$100))</f>
        <v>0</v>
      </c>
      <c r="R7" s="372">
        <f>MEDIAN(F100:F106)-F100-(MEDIAN($J$100:$L$106)-MEDIAN($J$100:$L$100))</f>
        <v>0</v>
      </c>
      <c r="S7" s="372">
        <f>MEDIAN(G100:G106)-G100-(MEDIAN($J$100:$L$106)-MEDIAN($J$100:$L$100))</f>
        <v>0</v>
      </c>
      <c r="T7" s="372">
        <f>MEDIAN(H100:H106)-H100-(MEDIAN($J$100:$L$106)-MEDIAN($J$100:$L$100))</f>
        <v>0</v>
      </c>
      <c r="U7" s="372">
        <f>MEDIAN(I100:I106)-I100-(MEDIAN($J$100:$L$106)-MEDIAN($J$100:$L$100))</f>
        <v>0</v>
      </c>
      <c r="V7" s="372">
        <f>MEDIAN(J100:J106)-J100</f>
        <v>3</v>
      </c>
      <c r="W7" s="372">
        <f>MEDIAN(K100:K106)-K100</f>
        <v>3</v>
      </c>
      <c r="X7" s="372">
        <f>MEDIAN(L100:L106)-L100</f>
        <v>3</v>
      </c>
      <c r="AJ7" s="141"/>
      <c r="AK7" s="141"/>
      <c r="AL7" s="141"/>
      <c r="AM7" s="141"/>
      <c r="AN7" s="141"/>
      <c r="AO7" s="141"/>
      <c r="AP7" s="141"/>
      <c r="AQ7" s="141"/>
    </row>
    <row r="8" spans="2:43" ht="14.1" customHeight="1">
      <c r="B8" s="48"/>
      <c r="C8" s="12"/>
      <c r="D8" s="9"/>
      <c r="E8" s="9"/>
      <c r="F8" s="9"/>
      <c r="G8" s="9"/>
      <c r="H8" s="9"/>
      <c r="I8" s="9"/>
      <c r="J8" s="9"/>
      <c r="K8" s="12"/>
      <c r="L8" s="12"/>
      <c r="M8" s="12"/>
      <c r="N8" s="31"/>
      <c r="P8" s="16" t="s">
        <v>110</v>
      </c>
      <c r="Q8" s="372">
        <f>MEDIAN(E106:E112)-E106-(MEDIAN($J$106:$L$112)-MEDIAN($J$106:$L$106))</f>
        <v>0</v>
      </c>
      <c r="R8" s="372">
        <f>MEDIAN(F106:F112)-F106-(MEDIAN($J$106:$L$112)-MEDIAN($J$106:$L$106))</f>
        <v>0</v>
      </c>
      <c r="S8" s="372">
        <f>MEDIAN(G106:G112)-G106-(MEDIAN($J$106:$L$112)-MEDIAN($J$106:$L$106))</f>
        <v>0</v>
      </c>
      <c r="T8" s="372">
        <f>MEDIAN(H106:H112)-H106-(MEDIAN($J$106:$L$112)-MEDIAN($J$106:$L$106))</f>
        <v>0</v>
      </c>
      <c r="U8" s="372">
        <f>MEDIAN(I106:I112)-I106-(MEDIAN($J$106:$L$112)-MEDIAN($J$106:$L$106))</f>
        <v>0</v>
      </c>
      <c r="V8" s="372">
        <f>MEDIAN(J106:J112)-J106</f>
        <v>3</v>
      </c>
      <c r="W8" s="372">
        <f>MEDIAN(K106:K112)-K106</f>
        <v>3</v>
      </c>
      <c r="X8" s="372">
        <f>MEDIAN(L106:L112)-L106</f>
        <v>3</v>
      </c>
      <c r="AJ8" s="141"/>
      <c r="AK8" s="141"/>
      <c r="AL8" s="141"/>
      <c r="AM8" s="141"/>
      <c r="AN8" s="141"/>
      <c r="AO8" s="141"/>
      <c r="AP8" s="141"/>
      <c r="AQ8" s="141"/>
    </row>
    <row r="9" spans="2:43" ht="14.1" customHeight="1">
      <c r="B9" s="207" t="s">
        <v>27</v>
      </c>
      <c r="C9" s="208"/>
      <c r="D9" s="208"/>
      <c r="E9" s="208"/>
      <c r="F9" s="208"/>
      <c r="G9" s="208"/>
      <c r="H9" s="208"/>
      <c r="I9" s="208"/>
      <c r="J9" s="208"/>
      <c r="K9" s="208"/>
      <c r="L9" s="208"/>
      <c r="M9" s="208"/>
      <c r="N9" s="209"/>
      <c r="P9" s="16" t="s">
        <v>111</v>
      </c>
      <c r="Q9" s="372">
        <f>MEDIAN(E112:E118)-E112-(MEDIAN($J$112:$L$118)-MEDIAN($J$112:$L$112))</f>
        <v>0</v>
      </c>
      <c r="R9" s="372">
        <f>MEDIAN(F112:F118)-F112-(MEDIAN($J$112:$L$118)-MEDIAN($J$112:$L$112))</f>
        <v>0</v>
      </c>
      <c r="S9" s="372">
        <f>MEDIAN(G112:G118)-G112-(MEDIAN($J$112:$L$118)-MEDIAN($J$112:$L$112))</f>
        <v>0</v>
      </c>
      <c r="T9" s="372">
        <f>MEDIAN(H112:H118)-H112-(MEDIAN($J$112:$L$118)-MEDIAN($J$112:$L$112))</f>
        <v>0</v>
      </c>
      <c r="U9" s="372">
        <f>MEDIAN(I112:I118)-I112-(MEDIAN($J$112:$L$118)-MEDIAN($J$112:$L$112))</f>
        <v>0</v>
      </c>
      <c r="V9" s="372">
        <f>MEDIAN(J112:J118)-J112</f>
        <v>3</v>
      </c>
      <c r="W9" s="372">
        <f>MEDIAN(K112:K118)-K112</f>
        <v>3</v>
      </c>
      <c r="X9" s="372">
        <f>MEDIAN(L112:L118)-L112</f>
        <v>3</v>
      </c>
      <c r="AJ9" s="141"/>
      <c r="AK9" s="141"/>
      <c r="AL9" s="141"/>
      <c r="AM9" s="141"/>
      <c r="AN9" s="141"/>
      <c r="AO9" s="141"/>
      <c r="AP9" s="141"/>
      <c r="AQ9" s="141"/>
    </row>
    <row r="10" spans="2:43" ht="14.1" customHeight="1">
      <c r="B10" s="49"/>
      <c r="E10" s="1"/>
      <c r="F10" s="1"/>
      <c r="G10" s="1"/>
      <c r="H10" s="1"/>
      <c r="I10" s="1"/>
      <c r="J10" s="1"/>
      <c r="K10" s="1"/>
      <c r="N10" s="50"/>
      <c r="P10" s="16" t="s">
        <v>109</v>
      </c>
      <c r="Q10" s="372">
        <f>MEDIAN(E118:E124)-E118-(MEDIAN($J$118:$L$124)-MEDIAN($J$118:$L$118))</f>
        <v>0</v>
      </c>
      <c r="R10" s="372">
        <f>MEDIAN(F118:F124)-F118-(MEDIAN($J$118:$L$124)-MEDIAN($J$118:$L$118))</f>
        <v>0</v>
      </c>
      <c r="S10" s="372">
        <f>MEDIAN(G118:G124)-G118-(MEDIAN($J$118:$L$124)-MEDIAN($J$118:$L$118))</f>
        <v>0</v>
      </c>
      <c r="T10" s="372">
        <f>MEDIAN(H118:H124)-H118-(MEDIAN($J$118:$L$124)-MEDIAN($J$118:$L$118))</f>
        <v>0</v>
      </c>
      <c r="U10" s="372">
        <f>MEDIAN(I118:I124)-I118-(MEDIAN($J$118:$L$124)-MEDIAN($J$118:$L$118))</f>
        <v>0</v>
      </c>
      <c r="V10" s="372">
        <f>MEDIAN(J118:J124)-J118</f>
        <v>3</v>
      </c>
      <c r="W10" s="372">
        <f>MEDIAN(K118:K124)-K118</f>
        <v>3</v>
      </c>
      <c r="X10" s="372">
        <f>MEDIAN(L118:L124)-L118</f>
        <v>3</v>
      </c>
      <c r="AJ10" s="141"/>
      <c r="AK10" s="141"/>
      <c r="AL10" s="141"/>
      <c r="AM10" s="141"/>
      <c r="AN10" s="141"/>
      <c r="AO10" s="141"/>
      <c r="AP10" s="141"/>
      <c r="AQ10" s="141"/>
    </row>
    <row r="11" spans="2:43" ht="14.1" customHeight="1">
      <c r="B11" s="49"/>
      <c r="E11" s="2" t="s">
        <v>28</v>
      </c>
      <c r="F11" s="156">
        <f>COLUMN()</f>
        <v>6</v>
      </c>
      <c r="G11" s="1" t="s">
        <v>29</v>
      </c>
      <c r="H11" s="1"/>
      <c r="L11" s="2" t="s">
        <v>30</v>
      </c>
      <c r="M11" s="156">
        <f>COLUMN()</f>
        <v>13</v>
      </c>
      <c r="N11" s="153" t="s">
        <v>31</v>
      </c>
      <c r="P11" s="16" t="s">
        <v>114</v>
      </c>
      <c r="Q11" s="372">
        <f>MEDIAN(E124:E130)-E124-(MEDIAN($J$124:$L$130)-MEDIAN($J$124:$L$124))</f>
        <v>0</v>
      </c>
      <c r="R11" s="372">
        <f>MEDIAN(F124:F130)-F124-(MEDIAN($J$124:$L$130)-MEDIAN($J$124:$L$124))</f>
        <v>0</v>
      </c>
      <c r="S11" s="372">
        <f>MEDIAN(G124:G130)-G124-(MEDIAN($J$124:$L$130)-MEDIAN($J$124:$L$124))</f>
        <v>0</v>
      </c>
      <c r="T11" s="372">
        <f>MEDIAN(H124:H130)-H124-(MEDIAN($J$124:$L$130)-MEDIAN($J$124:$L$124))</f>
        <v>0</v>
      </c>
      <c r="U11" s="372">
        <f>MEDIAN(I124:I130)-I124-(MEDIAN($J$124:$L$130)-MEDIAN($J$124:$L$124))</f>
        <v>0</v>
      </c>
      <c r="V11" s="372">
        <f>MEDIAN(J124:J130)-J124</f>
        <v>3</v>
      </c>
      <c r="W11" s="372">
        <f>MEDIAN(K124:K130)-K124</f>
        <v>3</v>
      </c>
      <c r="X11" s="372">
        <f>MEDIAN(L124:L130)-L124</f>
        <v>3</v>
      </c>
      <c r="AJ11" s="141"/>
      <c r="AK11" s="141"/>
      <c r="AL11" s="141"/>
      <c r="AM11" s="141"/>
      <c r="AN11" s="141"/>
      <c r="AO11" s="141"/>
      <c r="AP11" s="141"/>
      <c r="AQ11" s="141"/>
    </row>
    <row r="12" spans="2:43" ht="14.1" customHeight="1">
      <c r="B12" s="49"/>
      <c r="E12" s="2" t="s">
        <v>32</v>
      </c>
      <c r="F12" s="157">
        <v>360</v>
      </c>
      <c r="G12" s="1" t="s">
        <v>33</v>
      </c>
      <c r="H12" s="1"/>
      <c r="L12" s="2" t="s">
        <v>34</v>
      </c>
      <c r="M12" s="157">
        <v>0.7</v>
      </c>
      <c r="N12" s="154" t="s">
        <v>35</v>
      </c>
      <c r="P12" s="16" t="s">
        <v>115</v>
      </c>
      <c r="Q12" s="372">
        <f>MEDIAN(E130:E136)-E130-(MEDIAN($J$130:$L$136)-MEDIAN($J$130:$L$130))</f>
        <v>0</v>
      </c>
      <c r="R12" s="372">
        <f>MEDIAN(F130:F136)-F130-(MEDIAN($J$130:$L$136)-MEDIAN($J$130:$L$130))</f>
        <v>0</v>
      </c>
      <c r="S12" s="372">
        <f>MEDIAN(G130:G136)-G130-(MEDIAN($J$130:$L$136)-MEDIAN($J$130:$L$130))</f>
        <v>0</v>
      </c>
      <c r="T12" s="372">
        <f>MEDIAN(H130:H136)-H130-(MEDIAN($J$130:$L$136)-MEDIAN($J$130:$L$130))</f>
        <v>0</v>
      </c>
      <c r="U12" s="372">
        <f>MEDIAN(I130:I136)-I130-(MEDIAN($J$130:$L$136)-MEDIAN($J$130:$L$130))</f>
        <v>0</v>
      </c>
      <c r="V12" s="372">
        <f>MEDIAN(J130:J136)-J130</f>
        <v>3</v>
      </c>
      <c r="W12" s="372">
        <f>MEDIAN(K130:K136)-K130</f>
        <v>3</v>
      </c>
      <c r="X12" s="372">
        <f>MEDIAN(L130:L136)-L130</f>
        <v>3</v>
      </c>
      <c r="AJ12" s="141"/>
      <c r="AK12" s="141"/>
      <c r="AL12" s="141"/>
      <c r="AM12" s="141"/>
      <c r="AN12" s="141"/>
      <c r="AO12" s="141"/>
      <c r="AP12" s="141"/>
      <c r="AQ12" s="141"/>
    </row>
    <row r="13" spans="2:43" ht="14.1" customHeight="1">
      <c r="B13" s="49"/>
      <c r="E13" s="2" t="s">
        <v>36</v>
      </c>
      <c r="F13" s="157">
        <v>15</v>
      </c>
      <c r="G13" s="1" t="s">
        <v>37</v>
      </c>
      <c r="H13" s="1"/>
      <c r="L13" s="2" t="s">
        <v>38</v>
      </c>
      <c r="M13" s="157">
        <v>110</v>
      </c>
      <c r="N13" s="154" t="s">
        <v>39</v>
      </c>
      <c r="P13" s="16" t="s">
        <v>116</v>
      </c>
      <c r="Q13" s="372">
        <f>MEDIAN(E136:E142)-E136-(MEDIAN($J$136:$L$142)-MEDIAN($J$136:$L$136))</f>
        <v>0</v>
      </c>
      <c r="R13" s="372">
        <f>MEDIAN(F136:F142)-F136-(MEDIAN($J$136:$L$142)-MEDIAN($J$136:$L$136))</f>
        <v>0</v>
      </c>
      <c r="S13" s="372">
        <f>MEDIAN(G136:G142)-G136-(MEDIAN($J$136:$L$142)-MEDIAN($J$136:$L$136))</f>
        <v>0</v>
      </c>
      <c r="T13" s="372">
        <f>MEDIAN(H136:H142)-H136-(MEDIAN($J$136:$L$142)-MEDIAN($J$136:$L$136))</f>
        <v>0</v>
      </c>
      <c r="U13" s="372">
        <f>MEDIAN(I136:I142)-I136-(MEDIAN($J$136:$L$142)-MEDIAN($J$136:$L$136))</f>
        <v>0</v>
      </c>
      <c r="V13" s="372">
        <f>MEDIAN(J136:J142)-J136</f>
        <v>3</v>
      </c>
      <c r="W13" s="372">
        <f>MEDIAN(K136:K142)-K136</f>
        <v>3</v>
      </c>
      <c r="X13" s="372">
        <f>MEDIAN(L136:L142)-L136</f>
        <v>3</v>
      </c>
      <c r="AJ13" s="141"/>
      <c r="AK13" s="141"/>
      <c r="AL13" s="141"/>
      <c r="AM13" s="141"/>
      <c r="AN13" s="141"/>
      <c r="AO13" s="141"/>
      <c r="AP13" s="141"/>
      <c r="AQ13" s="141"/>
    </row>
    <row r="14" spans="2:43" ht="14.1" customHeight="1">
      <c r="B14" s="49"/>
      <c r="E14" s="2" t="s">
        <v>40</v>
      </c>
      <c r="F14" s="157">
        <v>60</v>
      </c>
      <c r="G14" s="1" t="s">
        <v>41</v>
      </c>
      <c r="H14" s="1"/>
      <c r="L14" s="2" t="s">
        <v>44</v>
      </c>
      <c r="M14" s="157">
        <v>25.5</v>
      </c>
      <c r="N14" s="154" t="s">
        <v>45</v>
      </c>
      <c r="P14" s="16" t="s">
        <v>117</v>
      </c>
      <c r="Q14" s="372">
        <f>MEDIAN(E142:E148)-E142-(MEDIAN($J$142:$L$148)-MEDIAN($J$142:$L$142))</f>
        <v>0</v>
      </c>
      <c r="R14" s="372">
        <f>MEDIAN(F142:F148)-F142-(MEDIAN($J$142:$L$148)-MEDIAN($J$142:$L$142))</f>
        <v>0</v>
      </c>
      <c r="S14" s="372">
        <f>MEDIAN(G142:G148)-G142-(MEDIAN($J$142:$L$148)-MEDIAN($J$142:$L$142))</f>
        <v>0</v>
      </c>
      <c r="T14" s="372">
        <f>MEDIAN(H142:H148)-H142-(MEDIAN($J$142:$L$148)-MEDIAN($J$142:$L$142))</f>
        <v>0</v>
      </c>
      <c r="U14" s="372">
        <f>MEDIAN(I142:I148)-I142-(MEDIAN($J$142:$L$148)-MEDIAN($J$142:$L$142))</f>
        <v>0</v>
      </c>
      <c r="V14" s="372">
        <f>MEDIAN(J142:J148)-J142</f>
        <v>3</v>
      </c>
      <c r="W14" s="372">
        <f>MEDIAN(K142:K148)-K142</f>
        <v>3</v>
      </c>
      <c r="X14" s="372">
        <f>MEDIAN(L142:L148)-L142</f>
        <v>3</v>
      </c>
      <c r="AJ14" s="141"/>
      <c r="AK14" s="141"/>
      <c r="AL14" s="141"/>
      <c r="AM14" s="141"/>
      <c r="AN14" s="141"/>
      <c r="AO14" s="141"/>
      <c r="AP14" s="141"/>
      <c r="AQ14" s="141"/>
    </row>
    <row r="15" spans="2:43" ht="14.1" customHeight="1">
      <c r="B15" s="49"/>
      <c r="E15" s="2" t="s">
        <v>42</v>
      </c>
      <c r="F15" s="157">
        <v>10</v>
      </c>
      <c r="G15" s="1" t="s">
        <v>43</v>
      </c>
      <c r="H15" s="1"/>
      <c r="M15" s="34"/>
      <c r="N15" s="155"/>
      <c r="P15" s="16" t="s">
        <v>118</v>
      </c>
      <c r="Q15" s="372">
        <f>MEDIAN(E148:E154)-E148-(MEDIAN($J$148:$L$154)-MEDIAN($J$148:$L$148))</f>
        <v>0</v>
      </c>
      <c r="R15" s="372">
        <f>MEDIAN(F148:F154)-F148-(MEDIAN($J$148:$L$154)-MEDIAN($J$148:$L$148))</f>
        <v>0</v>
      </c>
      <c r="S15" s="372">
        <f>MEDIAN(G148:G154)-G148-(MEDIAN($J$148:$L$154)-MEDIAN($J$148:$L$148))</f>
        <v>0</v>
      </c>
      <c r="T15" s="372">
        <f>MEDIAN(H148:H154)-H148-(MEDIAN($J$148:$L$154)-MEDIAN($J$148:$L$148))</f>
        <v>0</v>
      </c>
      <c r="U15" s="372">
        <f>MEDIAN(I148:I154)-I148-(MEDIAN($J$148:$L$154)-MEDIAN($J$148:$L$148))</f>
        <v>0</v>
      </c>
      <c r="V15" s="372">
        <f>MEDIAN(J148:J154)-J148</f>
        <v>3</v>
      </c>
      <c r="W15" s="372">
        <f>MEDIAN(K148:K154)-K148</f>
        <v>3</v>
      </c>
      <c r="X15" s="372">
        <f>MEDIAN(L148:L154)-L148</f>
        <v>3</v>
      </c>
      <c r="AJ15" s="141"/>
      <c r="AK15" s="141"/>
      <c r="AL15" s="141"/>
      <c r="AM15" s="141"/>
      <c r="AN15" s="141"/>
      <c r="AO15" s="141"/>
      <c r="AP15" s="141"/>
      <c r="AQ15" s="141"/>
    </row>
    <row r="16" spans="2:43" ht="14.1" customHeight="1">
      <c r="B16" s="49"/>
      <c r="E16" s="2" t="s">
        <v>46</v>
      </c>
      <c r="F16" s="152">
        <f ca="1">YEAR(TODAY())</f>
        <v>2023</v>
      </c>
      <c r="H16" s="1"/>
      <c r="L16" s="2" t="s">
        <v>58</v>
      </c>
      <c r="M16" s="221" t="s">
        <v>103</v>
      </c>
      <c r="N16" s="222"/>
      <c r="P16" s="16" t="s">
        <v>119</v>
      </c>
      <c r="Q16" s="372">
        <f>MEDIAN(E154:E160)-E154-(MEDIAN($J$154:$L$160)-MEDIAN($J$154:$L$154))</f>
        <v>0</v>
      </c>
      <c r="R16" s="372">
        <f>MEDIAN(F154:F160)-F154-(MEDIAN($J$154:$L$160)-MEDIAN($J$154:$L$154))</f>
        <v>0</v>
      </c>
      <c r="S16" s="372">
        <f>MEDIAN(G154:G160)-G154-(MEDIAN($J$154:$L$160)-MEDIAN($J$154:$L$154))</f>
        <v>0</v>
      </c>
      <c r="T16" s="372">
        <f>MEDIAN(H154:H160)-H154-(MEDIAN($J$154:$L$160)-MEDIAN($J$154:$L$154))</f>
        <v>0</v>
      </c>
      <c r="U16" s="372">
        <f>MEDIAN(I154:I160)-I154-(MEDIAN($J$154:$L$160)-MEDIAN($J$154:$L$154))</f>
        <v>0</v>
      </c>
      <c r="V16" s="372">
        <f>MEDIAN(J154:J160)-J154</f>
        <v>3</v>
      </c>
      <c r="W16" s="372">
        <f>MEDIAN(K154:K160)-K154</f>
        <v>3</v>
      </c>
      <c r="X16" s="372">
        <f>MEDIAN(L154:L160)-L154</f>
        <v>3</v>
      </c>
      <c r="AJ16" s="141"/>
      <c r="AK16" s="141"/>
      <c r="AL16" s="141"/>
      <c r="AM16" s="141"/>
      <c r="AN16" s="141"/>
      <c r="AO16" s="141"/>
      <c r="AP16" s="141"/>
      <c r="AQ16" s="141"/>
    </row>
    <row r="17" spans="2:43" ht="14.1" customHeight="1">
      <c r="B17" s="49"/>
      <c r="G17" s="1"/>
      <c r="H17" s="1"/>
      <c r="M17" s="205"/>
      <c r="N17" s="206"/>
      <c r="P17" s="16" t="s">
        <v>120</v>
      </c>
      <c r="Q17" s="372">
        <f>MEDIAN(E160:E166)-E160-(MEDIAN($J$160:$L$166)-MEDIAN($J$160:$L$160))</f>
        <v>0</v>
      </c>
      <c r="R17" s="372">
        <f>MEDIAN(F160:F166)-F160-(MEDIAN($J$160:$L$166)-MEDIAN($J$160:$L$160))</f>
        <v>0</v>
      </c>
      <c r="S17" s="372">
        <f>MEDIAN(G160:G166)-G160-(MEDIAN($J$160:$L$166)-MEDIAN($J$160:$L$160))</f>
        <v>0</v>
      </c>
      <c r="T17" s="372">
        <f>MEDIAN(H160:H166)-H160-(MEDIAN($J$160:$L$166)-MEDIAN($J$160:$L$160))</f>
        <v>0</v>
      </c>
      <c r="U17" s="372">
        <f>MEDIAN(I160:I166)-I160-(MEDIAN($J$160:$L$166)-MEDIAN($J$160:$L$160))</f>
        <v>0</v>
      </c>
      <c r="V17" s="372">
        <f>MEDIAN(J160:J166)-J160</f>
        <v>3</v>
      </c>
      <c r="W17" s="372">
        <f>MEDIAN(K160:K166)-K160</f>
        <v>3</v>
      </c>
      <c r="X17" s="372">
        <f>MEDIAN(L160:L166)-L160</f>
        <v>3</v>
      </c>
      <c r="AJ17" s="141"/>
      <c r="AK17" s="141"/>
      <c r="AL17" s="141"/>
      <c r="AM17" s="141"/>
      <c r="AN17" s="141"/>
      <c r="AO17" s="141"/>
      <c r="AP17" s="141"/>
      <c r="AQ17" s="141"/>
    </row>
    <row r="18" spans="2:43" ht="14.1" customHeight="1">
      <c r="B18" s="207" t="s">
        <v>57</v>
      </c>
      <c r="C18" s="208"/>
      <c r="D18" s="208"/>
      <c r="E18" s="208"/>
      <c r="F18" s="208"/>
      <c r="G18" s="208"/>
      <c r="H18" s="208"/>
      <c r="I18" s="208"/>
      <c r="J18" s="208"/>
      <c r="K18" s="208"/>
      <c r="L18" s="208"/>
      <c r="M18" s="208"/>
      <c r="N18" s="209"/>
      <c r="P18" s="16" t="s">
        <v>121</v>
      </c>
      <c r="Q18" s="372">
        <f>MEDIAN(E166:E172)-E166-(MEDIAN($J$166:$L$172)-MEDIAN($J$166:$L$166))</f>
        <v>0</v>
      </c>
      <c r="R18" s="372">
        <f>MEDIAN(F166:F172)-F166-(MEDIAN($J$166:$L$172)-MEDIAN($J$166:$L$166))</f>
        <v>0</v>
      </c>
      <c r="S18" s="372">
        <f>MEDIAN(G166:G172)-G166-(MEDIAN($J$166:$L$172)-MEDIAN($J$166:$L$166))</f>
        <v>0</v>
      </c>
      <c r="T18" s="372">
        <f>MEDIAN(H166:H172)-H166-(MEDIAN($J$166:$L$172)-MEDIAN($J$166:$L$166))</f>
        <v>0</v>
      </c>
      <c r="U18" s="372">
        <f>MEDIAN(I166:I172)-I166-(MEDIAN($J$166:$L$172)-MEDIAN($J$166:$L$166))</f>
        <v>0</v>
      </c>
      <c r="V18" s="372">
        <f>MEDIAN(J166:J172)-J166</f>
        <v>3</v>
      </c>
      <c r="W18" s="372">
        <f>MEDIAN(K166:K172)-K166</f>
        <v>3</v>
      </c>
      <c r="X18" s="372">
        <f>MEDIAN(L166:L172)-L166</f>
        <v>3</v>
      </c>
      <c r="AJ18" s="141"/>
      <c r="AK18" s="141"/>
      <c r="AL18" s="141"/>
      <c r="AM18" s="141"/>
      <c r="AN18" s="141"/>
      <c r="AO18" s="141"/>
      <c r="AP18" s="141"/>
      <c r="AQ18" s="141"/>
    </row>
    <row r="19" spans="2:43" ht="14.1" customHeight="1">
      <c r="B19" s="23"/>
      <c r="N19" s="50"/>
      <c r="P19" s="16" t="s">
        <v>122</v>
      </c>
      <c r="Q19" s="372">
        <f>MEDIAN(E172:E178)-E172-(MEDIAN($J$172:$L$178)-MEDIAN($J$172:$L$172))</f>
        <v>0</v>
      </c>
      <c r="R19" s="372">
        <f>MEDIAN(F172:F178)-F172-(MEDIAN($J$172:$L$178)-MEDIAN($J$172:$L$172))</f>
        <v>0</v>
      </c>
      <c r="S19" s="372">
        <f>MEDIAN(G172:G178)-G172-(MEDIAN($J$172:$L$178)-MEDIAN($J$172:$L$172))</f>
        <v>0</v>
      </c>
      <c r="T19" s="372">
        <f>MEDIAN(H172:H178)-H172-(MEDIAN($J$172:$L$178)-MEDIAN($J$172:$L$172))</f>
        <v>0</v>
      </c>
      <c r="U19" s="372">
        <f>MEDIAN(I172:I178)-I172-(MEDIAN($J$172:$L$178)-MEDIAN($J$172:$L$172))</f>
        <v>0</v>
      </c>
      <c r="V19" s="372">
        <f>MEDIAN(J172:J178)-J172</f>
        <v>3</v>
      </c>
      <c r="W19" s="372">
        <f>MEDIAN(K172:K178)-K172</f>
        <v>3</v>
      </c>
      <c r="X19" s="372">
        <f>MEDIAN(L172:L178)-L172</f>
        <v>3</v>
      </c>
      <c r="AA19" s="70"/>
      <c r="AB19" s="70"/>
      <c r="AC19" s="70"/>
      <c r="AJ19" s="141"/>
      <c r="AK19" s="141"/>
      <c r="AL19" s="141"/>
      <c r="AM19" s="141"/>
      <c r="AN19" s="141"/>
      <c r="AO19" s="141"/>
      <c r="AP19" s="141"/>
      <c r="AQ19" s="141"/>
    </row>
    <row r="20" spans="2:43" ht="14.1" customHeight="1">
      <c r="B20" s="23"/>
      <c r="C20" s="219"/>
      <c r="D20" s="220"/>
      <c r="E20" s="220"/>
      <c r="F20" s="220"/>
      <c r="G20" s="220"/>
      <c r="H20" s="220"/>
      <c r="I20" s="220"/>
      <c r="J20" s="220"/>
      <c r="K20" s="220"/>
      <c r="L20" s="220"/>
      <c r="M20" s="220"/>
      <c r="N20" s="50"/>
      <c r="P20" s="16" t="s">
        <v>123</v>
      </c>
      <c r="Q20" s="372">
        <f>MEDIAN(E178:E184)-E178-(MEDIAN($J$178:$L$184)-MEDIAN($J$178:$L$178))</f>
        <v>0</v>
      </c>
      <c r="R20" s="372">
        <f>MEDIAN(F178:F184)-F178-(MEDIAN($J$178:$L$184)-MEDIAN($J$178:$L$178))</f>
        <v>0</v>
      </c>
      <c r="S20" s="372">
        <f>MEDIAN(G178:G184)-G178-(MEDIAN($J$178:$L$184)-MEDIAN($J$178:$L$178))</f>
        <v>0</v>
      </c>
      <c r="T20" s="372">
        <f>MEDIAN(H178:H184)-H178-(MEDIAN($J$178:$L$184)-MEDIAN($J$178:$L$178))</f>
        <v>0</v>
      </c>
      <c r="U20" s="372">
        <f>MEDIAN(I178:I184)-I178-(MEDIAN($J$178:$L$184)-MEDIAN($J$178:$L$178))</f>
        <v>0</v>
      </c>
      <c r="V20" s="372">
        <f>MEDIAN(J178:J184)-J178</f>
        <v>3</v>
      </c>
      <c r="W20" s="372">
        <f>MEDIAN(K178:K184)-K178</f>
        <v>3</v>
      </c>
      <c r="X20" s="372">
        <f>MEDIAN(L178:L184)-L178</f>
        <v>3</v>
      </c>
      <c r="AA20" s="70"/>
      <c r="AB20" s="70"/>
      <c r="AC20" s="70"/>
      <c r="AJ20" s="141"/>
      <c r="AK20" s="141"/>
      <c r="AL20" s="141"/>
      <c r="AM20" s="141"/>
      <c r="AN20" s="141"/>
      <c r="AO20" s="141"/>
      <c r="AP20" s="141"/>
      <c r="AQ20" s="141"/>
    </row>
    <row r="21" spans="2:43" ht="14.1" customHeight="1">
      <c r="B21" s="23"/>
      <c r="C21" s="220"/>
      <c r="D21" s="220"/>
      <c r="E21" s="220"/>
      <c r="F21" s="220"/>
      <c r="G21" s="220"/>
      <c r="H21" s="220"/>
      <c r="I21" s="220"/>
      <c r="J21" s="220"/>
      <c r="K21" s="220"/>
      <c r="L21" s="220"/>
      <c r="M21" s="220"/>
      <c r="N21" s="50"/>
      <c r="P21" s="16" t="s">
        <v>124</v>
      </c>
      <c r="Q21" s="372">
        <f>MEDIAN(E184:E190)-E184-(MEDIAN($J$184:$L$190)-MEDIAN($J$184:$L$184))</f>
        <v>0</v>
      </c>
      <c r="R21" s="372">
        <f>MEDIAN(F184:F190)-F184-(MEDIAN($J$184:$L$190)-MEDIAN($J$184:$L$184))</f>
        <v>0</v>
      </c>
      <c r="S21" s="372">
        <f>MEDIAN(G184:G190)-G184-(MEDIAN($J$184:$L$190)-MEDIAN($J$184:$L$184))</f>
        <v>0</v>
      </c>
      <c r="T21" s="372">
        <f>MEDIAN(H184:H190)-H184-(MEDIAN($J$184:$L$190)-MEDIAN($J$184:$L$184))</f>
        <v>0</v>
      </c>
      <c r="U21" s="372">
        <f>MEDIAN(I184:I190)-I184-(MEDIAN($J$184:$L$190)-MEDIAN($J$184:$L$184))</f>
        <v>0</v>
      </c>
      <c r="V21" s="372">
        <f>MEDIAN(J184:J190)-J184</f>
        <v>3</v>
      </c>
      <c r="W21" s="372">
        <f>MEDIAN(K184:K190)-K184</f>
        <v>3</v>
      </c>
      <c r="X21" s="372">
        <f>MEDIAN(L184:L190)-L184</f>
        <v>3</v>
      </c>
      <c r="AA21" s="70"/>
      <c r="AB21" s="70"/>
      <c r="AC21" s="70"/>
      <c r="AJ21" s="141"/>
      <c r="AK21" s="141"/>
      <c r="AL21" s="141"/>
      <c r="AM21" s="141"/>
      <c r="AN21" s="141"/>
      <c r="AO21" s="141"/>
      <c r="AP21" s="141"/>
      <c r="AQ21" s="141"/>
    </row>
    <row r="22" spans="2:43" ht="14.1" customHeight="1">
      <c r="B22" s="23"/>
      <c r="C22" s="220"/>
      <c r="D22" s="220"/>
      <c r="E22" s="220"/>
      <c r="F22" s="220"/>
      <c r="G22" s="220"/>
      <c r="H22" s="220"/>
      <c r="I22" s="220"/>
      <c r="J22" s="220"/>
      <c r="K22" s="220"/>
      <c r="L22" s="220"/>
      <c r="M22" s="220"/>
      <c r="N22" s="50"/>
      <c r="P22" s="16" t="s">
        <v>125</v>
      </c>
      <c r="Q22" s="372">
        <f>MEDIAN(E190:E196)-E190-(MEDIAN($J$190:$L$196)-MEDIAN($J$190:$L$190))</f>
        <v>0</v>
      </c>
      <c r="R22" s="372">
        <f>MEDIAN(F190:F196)-F190-(MEDIAN($J$190:$L$196)-MEDIAN($J$190:$L$190))</f>
        <v>0</v>
      </c>
      <c r="S22" s="372">
        <f>MEDIAN(G190:G196)-G190-(MEDIAN($J$190:$L$196)-MEDIAN($J$190:$L$190))</f>
        <v>0</v>
      </c>
      <c r="T22" s="372">
        <f>MEDIAN(H190:H196)-H190-(MEDIAN($J$190:$L$196)-MEDIAN($J$190:$L$190))</f>
        <v>0</v>
      </c>
      <c r="U22" s="372">
        <f>MEDIAN(I190:I196)-I190-(MEDIAN($J$190:$L$196)-MEDIAN($J$190:$L$190))</f>
        <v>0</v>
      </c>
      <c r="V22" s="372">
        <f>MEDIAN(J190:J196)-J190</f>
        <v>3</v>
      </c>
      <c r="W22" s="372">
        <f>MEDIAN(K190:K196)-K190</f>
        <v>3</v>
      </c>
      <c r="X22" s="372">
        <f>MEDIAN(L190:L196)-L190</f>
        <v>3</v>
      </c>
      <c r="AA22" s="70"/>
      <c r="AB22" s="70"/>
      <c r="AC22" s="70"/>
      <c r="AJ22" s="141"/>
      <c r="AK22" s="141"/>
      <c r="AL22" s="141"/>
      <c r="AM22" s="141"/>
      <c r="AN22" s="141"/>
      <c r="AO22" s="141"/>
      <c r="AP22" s="141"/>
      <c r="AQ22" s="141"/>
    </row>
    <row r="23" spans="2:43" ht="14.1" customHeight="1">
      <c r="B23" s="23"/>
      <c r="C23" s="220"/>
      <c r="D23" s="220"/>
      <c r="E23" s="220"/>
      <c r="F23" s="220"/>
      <c r="G23" s="220"/>
      <c r="H23" s="220"/>
      <c r="I23" s="220"/>
      <c r="J23" s="220"/>
      <c r="K23" s="220"/>
      <c r="L23" s="220"/>
      <c r="M23" s="220"/>
      <c r="N23" s="50"/>
      <c r="P23" s="16" t="s">
        <v>126</v>
      </c>
      <c r="Q23" s="372">
        <f>MEDIAN(E196:E202)-E196-(MEDIAN($J$196:$L$202)-MEDIAN($J$196:$L$196))</f>
        <v>0</v>
      </c>
      <c r="R23" s="372">
        <f>MEDIAN(F196:F202)-F196-(MEDIAN($J$196:$L$202)-MEDIAN($J$196:$L$196))</f>
        <v>0</v>
      </c>
      <c r="S23" s="372">
        <f>MEDIAN(G196:G202)-G196-(MEDIAN($J$196:$L$202)-MEDIAN($J$196:$L$196))</f>
        <v>0</v>
      </c>
      <c r="T23" s="372">
        <f>MEDIAN(H196:H202)-H196-(MEDIAN($J$196:$L$202)-MEDIAN($J$196:$L$196))</f>
        <v>0</v>
      </c>
      <c r="U23" s="372">
        <f>MEDIAN(I196:I202)-I196-(MEDIAN($J$196:$L$202)-MEDIAN($J$196:$L$196))</f>
        <v>0</v>
      </c>
      <c r="V23" s="372">
        <f>MEDIAN(J196:J202)-J196</f>
        <v>3</v>
      </c>
      <c r="W23" s="372">
        <f>MEDIAN(K196:K202)-K196</f>
        <v>3</v>
      </c>
      <c r="X23" s="372">
        <f>MEDIAN(L196:L202)-L196</f>
        <v>3</v>
      </c>
      <c r="AA23" s="70"/>
      <c r="AB23" s="70"/>
      <c r="AC23" s="70"/>
      <c r="AJ23" s="141"/>
      <c r="AK23" s="141"/>
      <c r="AL23" s="141"/>
      <c r="AM23" s="141"/>
      <c r="AN23" s="141"/>
      <c r="AO23" s="141"/>
      <c r="AP23" s="141"/>
      <c r="AQ23" s="141"/>
    </row>
    <row r="24" spans="2:43" ht="14.1" customHeight="1">
      <c r="B24" s="23"/>
      <c r="C24" s="220"/>
      <c r="D24" s="220"/>
      <c r="E24" s="220"/>
      <c r="F24" s="220"/>
      <c r="G24" s="220"/>
      <c r="H24" s="220"/>
      <c r="I24" s="220"/>
      <c r="J24" s="220"/>
      <c r="K24" s="220"/>
      <c r="L24" s="220"/>
      <c r="M24" s="220"/>
      <c r="N24" s="50"/>
      <c r="P24" s="16" t="s">
        <v>127</v>
      </c>
      <c r="Q24" s="372">
        <f>MEDIAN(E202:E208)-E202-(MEDIAN($J$202:$L$208)-MEDIAN($J$202:$L$202))</f>
        <v>0</v>
      </c>
      <c r="R24" s="372">
        <f>MEDIAN(F202:F208)-F202-(MEDIAN($J$202:$L$208)-MEDIAN($J$202:$L$202))</f>
        <v>0</v>
      </c>
      <c r="S24" s="372">
        <f>MEDIAN(G202:G208)-G202-(MEDIAN($J$202:$L$208)-MEDIAN($J$202:$L$202))</f>
        <v>0</v>
      </c>
      <c r="T24" s="372">
        <f>MEDIAN(H202:H208)-H202-(MEDIAN($J$202:$L$208)-MEDIAN($J$202:$L$202))</f>
        <v>0</v>
      </c>
      <c r="U24" s="372">
        <f>MEDIAN(I202:I208)-I202-(MEDIAN($J$202:$L$208)-MEDIAN($J$202:$L$202))</f>
        <v>0</v>
      </c>
      <c r="V24" s="372">
        <f>MEDIAN(J202:J208)-J202</f>
        <v>3</v>
      </c>
      <c r="W24" s="372">
        <f>MEDIAN(K202:K208)-K202</f>
        <v>3</v>
      </c>
      <c r="X24" s="372">
        <f>MEDIAN(L202:L208)-L202</f>
        <v>3</v>
      </c>
      <c r="AA24" s="70"/>
      <c r="AB24" s="70"/>
      <c r="AC24" s="70"/>
      <c r="AJ24" s="141"/>
      <c r="AK24" s="141"/>
      <c r="AL24" s="141"/>
      <c r="AM24" s="141"/>
      <c r="AN24" s="141"/>
      <c r="AO24" s="141"/>
      <c r="AP24" s="141"/>
      <c r="AQ24" s="141"/>
    </row>
    <row r="25" spans="2:43" ht="14.1" customHeight="1">
      <c r="B25" s="23"/>
      <c r="C25" s="220"/>
      <c r="D25" s="220"/>
      <c r="E25" s="220"/>
      <c r="F25" s="220"/>
      <c r="G25" s="220"/>
      <c r="H25" s="220"/>
      <c r="I25" s="220"/>
      <c r="J25" s="220"/>
      <c r="K25" s="220"/>
      <c r="L25" s="220"/>
      <c r="M25" s="220"/>
      <c r="N25" s="50"/>
      <c r="P25" s="66"/>
      <c r="Q25" s="67"/>
      <c r="R25" s="67"/>
      <c r="S25" s="67"/>
      <c r="T25" s="67"/>
      <c r="U25" s="67"/>
      <c r="V25" s="67"/>
      <c r="W25" s="67"/>
      <c r="X25" s="67"/>
      <c r="AA25" s="70"/>
      <c r="AB25" s="70"/>
      <c r="AC25" s="70"/>
      <c r="AJ25" s="141"/>
      <c r="AK25" s="141"/>
      <c r="AL25" s="141"/>
      <c r="AM25" s="141"/>
      <c r="AN25" s="141"/>
      <c r="AO25" s="141"/>
      <c r="AP25" s="141"/>
      <c r="AQ25" s="141"/>
    </row>
    <row r="26" spans="2:43" ht="14.1" customHeight="1">
      <c r="B26" s="23"/>
      <c r="C26" s="220"/>
      <c r="D26" s="220"/>
      <c r="E26" s="220"/>
      <c r="F26" s="220"/>
      <c r="G26" s="220"/>
      <c r="H26" s="220"/>
      <c r="I26" s="220"/>
      <c r="J26" s="220"/>
      <c r="K26" s="220"/>
      <c r="L26" s="220"/>
      <c r="M26" s="220"/>
      <c r="N26" s="50"/>
      <c r="O26" s="142"/>
      <c r="P26" s="66"/>
      <c r="V26" s="67"/>
      <c r="W26" s="67"/>
      <c r="X26" s="67"/>
      <c r="AA26" s="70"/>
      <c r="AB26" s="70"/>
      <c r="AC26" s="70"/>
      <c r="AJ26" s="141"/>
      <c r="AK26" s="141"/>
      <c r="AL26" s="141"/>
      <c r="AM26" s="141"/>
      <c r="AN26" s="141"/>
      <c r="AO26" s="141"/>
      <c r="AP26" s="141"/>
      <c r="AQ26" s="141"/>
    </row>
    <row r="27" spans="2:43" ht="14.1" customHeight="1">
      <c r="B27" s="23"/>
      <c r="C27" s="220"/>
      <c r="D27" s="220"/>
      <c r="E27" s="220"/>
      <c r="F27" s="220"/>
      <c r="G27" s="220"/>
      <c r="H27" s="220"/>
      <c r="I27" s="220"/>
      <c r="J27" s="220"/>
      <c r="K27" s="220"/>
      <c r="L27" s="220"/>
      <c r="M27" s="220"/>
      <c r="N27" s="50"/>
      <c r="P27" s="66"/>
      <c r="V27" s="67"/>
      <c r="W27" s="67"/>
      <c r="X27" s="67"/>
      <c r="AA27" s="70"/>
      <c r="AB27" s="70"/>
      <c r="AC27" s="70"/>
      <c r="AJ27" s="141"/>
      <c r="AK27" s="141"/>
      <c r="AL27" s="141"/>
      <c r="AM27" s="141"/>
      <c r="AN27" s="141"/>
      <c r="AO27" s="143" t="s">
        <v>56</v>
      </c>
      <c r="AP27" s="141">
        <v>225</v>
      </c>
      <c r="AQ27" s="141"/>
    </row>
    <row r="28" spans="2:43" ht="14.1" customHeight="1">
      <c r="B28" s="23"/>
      <c r="C28" s="220"/>
      <c r="D28" s="220"/>
      <c r="E28" s="220"/>
      <c r="F28" s="220"/>
      <c r="G28" s="220"/>
      <c r="H28" s="220"/>
      <c r="I28" s="220"/>
      <c r="J28" s="220"/>
      <c r="K28" s="220"/>
      <c r="L28" s="220"/>
      <c r="M28" s="220"/>
      <c r="N28" s="50"/>
      <c r="P28" s="66"/>
      <c r="V28" s="67"/>
      <c r="W28" s="67"/>
      <c r="X28" s="67"/>
      <c r="AA28" s="70"/>
      <c r="AB28" s="70"/>
      <c r="AC28" s="70"/>
      <c r="AJ28" s="141"/>
      <c r="AK28" s="141"/>
    </row>
    <row r="29" spans="2:43" ht="14.1" customHeight="1">
      <c r="B29" s="23"/>
      <c r="N29" s="50"/>
      <c r="P29" s="66"/>
      <c r="V29" s="67"/>
      <c r="W29" s="67"/>
      <c r="X29" s="67"/>
      <c r="AA29" s="70"/>
      <c r="AB29" s="70"/>
      <c r="AC29" s="70"/>
      <c r="AJ29" s="141"/>
      <c r="AK29" s="141"/>
    </row>
    <row r="30" spans="2:43" ht="14.1" customHeight="1">
      <c r="B30" s="23"/>
      <c r="N30" s="50"/>
      <c r="P30" s="66"/>
      <c r="V30" s="67"/>
      <c r="W30" s="67"/>
      <c r="X30" s="67"/>
      <c r="AA30" s="70"/>
      <c r="AB30" s="70"/>
      <c r="AC30" s="70"/>
      <c r="AJ30" s="141"/>
      <c r="AK30" s="141"/>
    </row>
    <row r="31" spans="2:43" ht="14.1" customHeight="1">
      <c r="B31" s="23"/>
      <c r="N31" s="50"/>
      <c r="P31" s="66"/>
      <c r="V31" s="67"/>
      <c r="W31" s="67"/>
      <c r="X31" s="67"/>
      <c r="AA31" s="70"/>
      <c r="AB31" s="70"/>
      <c r="AC31" s="70"/>
      <c r="AJ31" s="141"/>
      <c r="AK31" s="141"/>
    </row>
    <row r="32" spans="2:43" ht="14.1" customHeight="1">
      <c r="B32" s="207" t="s">
        <v>47</v>
      </c>
      <c r="C32" s="208"/>
      <c r="D32" s="208"/>
      <c r="E32" s="208"/>
      <c r="F32" s="208"/>
      <c r="G32" s="208"/>
      <c r="H32" s="208"/>
      <c r="I32" s="208"/>
      <c r="J32" s="208"/>
      <c r="K32" s="208"/>
      <c r="L32" s="208"/>
      <c r="M32" s="208"/>
      <c r="N32" s="209"/>
      <c r="P32" s="66"/>
      <c r="V32" s="67"/>
      <c r="W32" s="67"/>
      <c r="X32" s="67"/>
      <c r="AA32" s="70"/>
      <c r="AB32" s="70"/>
      <c r="AC32" s="70"/>
      <c r="AJ32" s="141"/>
      <c r="AK32" s="141"/>
    </row>
    <row r="33" spans="2:37" ht="14.1" customHeight="1" thickBot="1">
      <c r="B33" s="23"/>
      <c r="N33" s="50"/>
      <c r="P33" s="66"/>
      <c r="V33" s="67"/>
      <c r="W33" s="67"/>
      <c r="X33" s="67"/>
      <c r="AA33" s="70"/>
      <c r="AB33" s="70"/>
      <c r="AC33" s="70"/>
      <c r="AJ33" s="141"/>
      <c r="AK33" s="141"/>
    </row>
    <row r="34" spans="2:37" ht="11.1" customHeight="1">
      <c r="B34" s="23"/>
      <c r="E34" s="193" t="s">
        <v>60</v>
      </c>
      <c r="F34" s="194"/>
      <c r="G34" s="194"/>
      <c r="H34" s="194"/>
      <c r="I34" s="195"/>
      <c r="J34" s="178">
        <v>3354</v>
      </c>
      <c r="K34" s="191" t="str">
        <f>M269</f>
        <v>mΩ</v>
      </c>
      <c r="N34" s="50"/>
      <c r="P34" s="66"/>
      <c r="V34" s="67"/>
      <c r="W34" s="67"/>
      <c r="X34" s="67"/>
      <c r="AA34" s="70"/>
      <c r="AB34" s="70"/>
      <c r="AC34" s="70"/>
      <c r="AJ34" s="141"/>
      <c r="AK34" s="141"/>
    </row>
    <row r="35" spans="2:37" ht="11.1" customHeight="1">
      <c r="B35" s="23"/>
      <c r="E35" s="196"/>
      <c r="F35" s="197"/>
      <c r="G35" s="197"/>
      <c r="H35" s="197"/>
      <c r="I35" s="198"/>
      <c r="J35" s="179"/>
      <c r="K35" s="192"/>
      <c r="N35" s="50"/>
      <c r="P35" s="66"/>
      <c r="V35" s="67"/>
      <c r="W35" s="67"/>
      <c r="X35" s="67"/>
      <c r="AA35" s="70"/>
      <c r="AB35" s="70"/>
      <c r="AC35" s="70"/>
      <c r="AJ35" s="141"/>
      <c r="AK35" s="141"/>
    </row>
    <row r="36" spans="2:37" ht="11.1" customHeight="1">
      <c r="B36" s="23"/>
      <c r="E36" s="196" t="s">
        <v>80</v>
      </c>
      <c r="F36" s="198"/>
      <c r="G36" s="198"/>
      <c r="H36" s="198"/>
      <c r="I36" s="198"/>
      <c r="J36" s="180">
        <f>MEDIAN(J88:L88)</f>
        <v>1</v>
      </c>
      <c r="K36" s="189" t="str">
        <f>M270</f>
        <v xml:space="preserve"> °C</v>
      </c>
      <c r="N36" s="50"/>
      <c r="P36" s="66"/>
      <c r="V36" s="67"/>
      <c r="W36" s="67"/>
      <c r="X36" s="67"/>
      <c r="AA36" s="70"/>
      <c r="AB36" s="70"/>
      <c r="AC36" s="70"/>
      <c r="AJ36" s="141"/>
      <c r="AK36" s="141"/>
    </row>
    <row r="37" spans="2:37" ht="11.1" customHeight="1" thickBot="1">
      <c r="B37" s="23"/>
      <c r="E37" s="199"/>
      <c r="F37" s="200"/>
      <c r="G37" s="200"/>
      <c r="H37" s="200"/>
      <c r="I37" s="200"/>
      <c r="J37" s="181"/>
      <c r="K37" s="190"/>
      <c r="N37" s="50"/>
      <c r="P37" s="66"/>
      <c r="V37" s="67"/>
      <c r="W37" s="67"/>
      <c r="X37" s="67"/>
      <c r="AA37" s="70"/>
      <c r="AB37" s="70"/>
      <c r="AC37" s="70"/>
      <c r="AJ37" s="141"/>
      <c r="AK37" s="141"/>
    </row>
    <row r="38" spans="2:37" ht="14.1" customHeight="1">
      <c r="B38" s="23"/>
      <c r="N38" s="50"/>
      <c r="P38" s="66"/>
      <c r="V38" s="67"/>
      <c r="W38" s="67"/>
      <c r="X38" s="67"/>
      <c r="AA38" s="70"/>
      <c r="AB38" s="70"/>
      <c r="AC38" s="70"/>
      <c r="AJ38" s="141"/>
      <c r="AK38" s="141"/>
    </row>
    <row r="39" spans="2:37" ht="14.1" customHeight="1">
      <c r="B39" s="207" t="s">
        <v>48</v>
      </c>
      <c r="C39" s="208"/>
      <c r="D39" s="208"/>
      <c r="E39" s="208"/>
      <c r="F39" s="208"/>
      <c r="G39" s="208"/>
      <c r="H39" s="208"/>
      <c r="I39" s="208"/>
      <c r="J39" s="208"/>
      <c r="K39" s="208"/>
      <c r="L39" s="208"/>
      <c r="M39" s="208"/>
      <c r="N39" s="209"/>
      <c r="P39" s="66"/>
      <c r="V39" s="67"/>
      <c r="W39" s="67"/>
      <c r="X39" s="67"/>
      <c r="AA39" s="70"/>
      <c r="AB39" s="70"/>
      <c r="AC39" s="70"/>
      <c r="AJ39" s="141"/>
      <c r="AK39" s="141"/>
    </row>
    <row r="40" spans="2:37" ht="14.1" customHeight="1">
      <c r="B40" s="23"/>
      <c r="N40" s="50"/>
      <c r="P40" s="66"/>
      <c r="V40" s="67"/>
      <c r="W40" s="67"/>
      <c r="X40" s="67"/>
      <c r="AA40" s="70"/>
      <c r="AB40" s="70"/>
      <c r="AC40" s="70"/>
      <c r="AJ40" s="141"/>
      <c r="AK40" s="141"/>
    </row>
    <row r="41" spans="2:37" ht="11.1" customHeight="1">
      <c r="B41" s="23"/>
      <c r="D41" s="230" t="s">
        <v>49</v>
      </c>
      <c r="E41" s="231"/>
      <c r="F41" s="232" t="s">
        <v>50</v>
      </c>
      <c r="G41" s="233"/>
      <c r="H41" s="233"/>
      <c r="I41" s="233"/>
      <c r="J41" s="233"/>
      <c r="K41" s="233"/>
      <c r="L41" s="234"/>
      <c r="N41" s="50"/>
      <c r="P41" s="66"/>
      <c r="V41" s="67"/>
      <c r="W41" s="67"/>
      <c r="X41" s="67"/>
      <c r="AA41" s="70"/>
      <c r="AB41" s="70"/>
      <c r="AC41" s="70"/>
      <c r="AJ41" s="141"/>
      <c r="AK41" s="141"/>
    </row>
    <row r="42" spans="2:37" ht="11.1" customHeight="1">
      <c r="B42" s="23"/>
      <c r="D42" s="231"/>
      <c r="E42" s="231"/>
      <c r="F42" s="235"/>
      <c r="G42" s="236"/>
      <c r="H42" s="236"/>
      <c r="I42" s="236"/>
      <c r="J42" s="236"/>
      <c r="K42" s="236"/>
      <c r="L42" s="237"/>
      <c r="N42" s="50"/>
      <c r="P42" s="13"/>
      <c r="AC42" s="70"/>
      <c r="AJ42" s="141"/>
      <c r="AK42" s="141"/>
    </row>
    <row r="43" spans="2:37" ht="11.1" customHeight="1">
      <c r="B43" s="23"/>
      <c r="D43" s="182" t="s">
        <v>3</v>
      </c>
      <c r="E43" s="183"/>
      <c r="F43" s="160"/>
      <c r="G43" s="161"/>
      <c r="H43" s="161"/>
      <c r="I43" s="161"/>
      <c r="J43" s="161"/>
      <c r="K43" s="161"/>
      <c r="L43" s="162"/>
      <c r="N43" s="50"/>
      <c r="P43" s="13"/>
      <c r="AC43" s="70"/>
      <c r="AJ43" s="141"/>
      <c r="AK43" s="141"/>
    </row>
    <row r="44" spans="2:37" ht="11.1" customHeight="1">
      <c r="B44" s="23"/>
      <c r="D44" s="183"/>
      <c r="E44" s="183"/>
      <c r="F44" s="163"/>
      <c r="G44" s="164"/>
      <c r="H44" s="164"/>
      <c r="I44" s="164"/>
      <c r="J44" s="164"/>
      <c r="K44" s="164"/>
      <c r="L44" s="165"/>
      <c r="N44" s="50"/>
      <c r="P44" s="13"/>
      <c r="AC44" s="70"/>
      <c r="AJ44" s="141"/>
      <c r="AK44" s="141"/>
    </row>
    <row r="45" spans="2:37" ht="11.1" customHeight="1">
      <c r="B45" s="23"/>
      <c r="D45" s="182" t="s">
        <v>4</v>
      </c>
      <c r="E45" s="183"/>
      <c r="F45" s="160"/>
      <c r="G45" s="161"/>
      <c r="H45" s="161"/>
      <c r="I45" s="161"/>
      <c r="J45" s="161"/>
      <c r="K45" s="161"/>
      <c r="L45" s="162"/>
      <c r="N45" s="50"/>
      <c r="P45" s="13"/>
      <c r="AC45" s="70"/>
      <c r="AJ45" s="141"/>
      <c r="AK45" s="141"/>
    </row>
    <row r="46" spans="2:37" ht="11.1" customHeight="1">
      <c r="B46" s="23"/>
      <c r="D46" s="183"/>
      <c r="E46" s="183"/>
      <c r="F46" s="163"/>
      <c r="G46" s="164"/>
      <c r="H46" s="164"/>
      <c r="I46" s="164"/>
      <c r="J46" s="164"/>
      <c r="K46" s="164"/>
      <c r="L46" s="165"/>
      <c r="N46" s="50"/>
      <c r="P46" s="13"/>
      <c r="AC46" s="70"/>
      <c r="AJ46" s="141"/>
      <c r="AK46" s="141"/>
    </row>
    <row r="47" spans="2:37" ht="11.1" customHeight="1">
      <c r="B47" s="23"/>
      <c r="D47" s="182" t="s">
        <v>5</v>
      </c>
      <c r="E47" s="183"/>
      <c r="F47" s="160"/>
      <c r="G47" s="161"/>
      <c r="H47" s="161"/>
      <c r="I47" s="161"/>
      <c r="J47" s="161"/>
      <c r="K47" s="161"/>
      <c r="L47" s="162"/>
      <c r="N47" s="50"/>
      <c r="P47" s="13"/>
      <c r="AC47" s="70"/>
      <c r="AJ47" s="141"/>
      <c r="AK47" s="141"/>
    </row>
    <row r="48" spans="2:37" ht="11.1" customHeight="1">
      <c r="B48" s="23"/>
      <c r="D48" s="183"/>
      <c r="E48" s="183"/>
      <c r="F48" s="163"/>
      <c r="G48" s="164"/>
      <c r="H48" s="164"/>
      <c r="I48" s="164"/>
      <c r="J48" s="164"/>
      <c r="K48" s="164"/>
      <c r="L48" s="165"/>
      <c r="N48" s="50"/>
      <c r="P48" s="13"/>
      <c r="AC48" s="70"/>
      <c r="AJ48" s="141"/>
      <c r="AK48" s="141"/>
    </row>
    <row r="49" spans="2:37" ht="11.1" customHeight="1">
      <c r="B49" s="23"/>
      <c r="D49" s="182" t="s">
        <v>6</v>
      </c>
      <c r="E49" s="183"/>
      <c r="F49" s="160"/>
      <c r="G49" s="161"/>
      <c r="H49" s="161"/>
      <c r="I49" s="161"/>
      <c r="J49" s="161"/>
      <c r="K49" s="161"/>
      <c r="L49" s="162"/>
      <c r="N49" s="50"/>
      <c r="P49" s="13"/>
      <c r="AC49" s="70"/>
      <c r="AJ49" s="141"/>
      <c r="AK49" s="141"/>
    </row>
    <row r="50" spans="2:37" ht="11.1" customHeight="1">
      <c r="B50" s="23"/>
      <c r="D50" s="183"/>
      <c r="E50" s="183"/>
      <c r="F50" s="163"/>
      <c r="G50" s="164"/>
      <c r="H50" s="164"/>
      <c r="I50" s="164"/>
      <c r="J50" s="164"/>
      <c r="K50" s="164"/>
      <c r="L50" s="165"/>
      <c r="N50" s="50"/>
      <c r="P50" s="13"/>
      <c r="AC50" s="70"/>
      <c r="AJ50" s="141"/>
      <c r="AK50" s="141"/>
    </row>
    <row r="51" spans="2:37" ht="11.1" customHeight="1">
      <c r="B51" s="23"/>
      <c r="D51" s="182" t="s">
        <v>7</v>
      </c>
      <c r="E51" s="183"/>
      <c r="F51" s="160"/>
      <c r="G51" s="161"/>
      <c r="H51" s="161"/>
      <c r="I51" s="161"/>
      <c r="J51" s="161"/>
      <c r="K51" s="161"/>
      <c r="L51" s="162"/>
      <c r="N51" s="50"/>
      <c r="P51" s="13"/>
      <c r="AC51" s="70"/>
      <c r="AJ51" s="141"/>
      <c r="AK51" s="141"/>
    </row>
    <row r="52" spans="2:37" ht="11.1" customHeight="1">
      <c r="B52" s="23"/>
      <c r="D52" s="183"/>
      <c r="E52" s="183"/>
      <c r="F52" s="163"/>
      <c r="G52" s="164"/>
      <c r="H52" s="164"/>
      <c r="I52" s="164"/>
      <c r="J52" s="164"/>
      <c r="K52" s="164"/>
      <c r="L52" s="165"/>
      <c r="N52" s="50"/>
      <c r="P52" s="13"/>
      <c r="AC52" s="70"/>
      <c r="AJ52" s="141"/>
      <c r="AK52" s="141"/>
    </row>
    <row r="53" spans="2:37" ht="11.1" customHeight="1">
      <c r="B53" s="23"/>
      <c r="D53" s="182" t="s">
        <v>8</v>
      </c>
      <c r="E53" s="183"/>
      <c r="F53" s="160"/>
      <c r="G53" s="184"/>
      <c r="H53" s="184"/>
      <c r="I53" s="184"/>
      <c r="J53" s="184"/>
      <c r="K53" s="184"/>
      <c r="L53" s="185"/>
      <c r="N53" s="50"/>
      <c r="P53" s="13"/>
      <c r="AC53" s="70"/>
      <c r="AJ53" s="141"/>
      <c r="AK53" s="141"/>
    </row>
    <row r="54" spans="2:37" ht="11.1" customHeight="1">
      <c r="B54" s="23"/>
      <c r="D54" s="183"/>
      <c r="E54" s="183"/>
      <c r="F54" s="186"/>
      <c r="G54" s="187"/>
      <c r="H54" s="187"/>
      <c r="I54" s="187"/>
      <c r="J54" s="187"/>
      <c r="K54" s="187"/>
      <c r="L54" s="188"/>
      <c r="N54" s="50"/>
      <c r="P54" s="166" t="s">
        <v>54</v>
      </c>
      <c r="Q54" s="166"/>
      <c r="R54" s="166"/>
      <c r="S54" s="166"/>
      <c r="T54" s="166"/>
      <c r="U54" s="166"/>
      <c r="V54" s="166"/>
      <c r="W54" s="166"/>
      <c r="X54" s="379"/>
      <c r="AC54" s="70"/>
      <c r="AJ54" s="141"/>
      <c r="AK54" s="141"/>
    </row>
    <row r="55" spans="2:37" ht="11.1" customHeight="1">
      <c r="B55" s="23"/>
      <c r="D55" s="182" t="s">
        <v>9</v>
      </c>
      <c r="E55" s="183"/>
      <c r="F55" s="160"/>
      <c r="G55" s="184"/>
      <c r="H55" s="184"/>
      <c r="I55" s="184"/>
      <c r="J55" s="184"/>
      <c r="K55" s="184"/>
      <c r="L55" s="185"/>
      <c r="N55" s="50"/>
      <c r="P55" s="318" t="s">
        <v>2</v>
      </c>
      <c r="Q55" s="318"/>
      <c r="R55" s="318"/>
      <c r="S55" s="318"/>
      <c r="T55" s="318"/>
      <c r="U55" s="318"/>
      <c r="V55" s="170" t="s">
        <v>0</v>
      </c>
      <c r="W55" s="170"/>
      <c r="X55" s="320"/>
      <c r="AC55" s="70"/>
      <c r="AJ55" s="141"/>
      <c r="AK55" s="141"/>
    </row>
    <row r="56" spans="2:37" ht="11.1" customHeight="1">
      <c r="B56" s="23"/>
      <c r="D56" s="183"/>
      <c r="E56" s="183"/>
      <c r="F56" s="186"/>
      <c r="G56" s="187"/>
      <c r="H56" s="187"/>
      <c r="I56" s="187"/>
      <c r="J56" s="187"/>
      <c r="K56" s="187"/>
      <c r="L56" s="188"/>
      <c r="N56" s="50"/>
      <c r="P56" s="36" t="s">
        <v>1</v>
      </c>
      <c r="Q56" s="17" t="s">
        <v>3</v>
      </c>
      <c r="R56" s="17" t="s">
        <v>4</v>
      </c>
      <c r="S56" s="17" t="s">
        <v>5</v>
      </c>
      <c r="T56" s="17" t="s">
        <v>6</v>
      </c>
      <c r="U56" s="17" t="s">
        <v>7</v>
      </c>
      <c r="V56" s="17" t="s">
        <v>8</v>
      </c>
      <c r="W56" s="17" t="s">
        <v>9</v>
      </c>
      <c r="X56" s="17" t="s">
        <v>10</v>
      </c>
      <c r="AC56" s="70"/>
      <c r="AJ56" s="141"/>
      <c r="AK56" s="141"/>
    </row>
    <row r="57" spans="2:37" ht="11.1" customHeight="1">
      <c r="B57" s="23"/>
      <c r="D57" s="182" t="s">
        <v>10</v>
      </c>
      <c r="E57" s="183"/>
      <c r="F57" s="160"/>
      <c r="G57" s="184"/>
      <c r="H57" s="184"/>
      <c r="I57" s="184"/>
      <c r="J57" s="184"/>
      <c r="K57" s="184"/>
      <c r="L57" s="185"/>
      <c r="N57" s="50"/>
      <c r="P57" s="16" t="s">
        <v>12</v>
      </c>
      <c r="Q57" s="372">
        <f>(MEDIAN(E88:E100)-E88)-(MEDIAN($J$88:$L$100)-MEDIAN($J$88:$L$88))</f>
        <v>0</v>
      </c>
      <c r="R57" s="372">
        <f>(MEDIAN(F88:F100)-F88)-(MEDIAN($J$88:$L$100)-MEDIAN($J$88:$L$88))</f>
        <v>0</v>
      </c>
      <c r="S57" s="372">
        <f>(MEDIAN(G88:G100)-G88)-(MEDIAN($J$88:$L$100)-MEDIAN($J$88:$L$88))</f>
        <v>0</v>
      </c>
      <c r="T57" s="372">
        <f>(MEDIAN(H88:H100)-H88)-(MEDIAN($J$88:$L$100)-MEDIAN($J$88:$L$88))</f>
        <v>0</v>
      </c>
      <c r="U57" s="372">
        <f>(MEDIAN(I88:I100)-I88)-(MEDIAN($J$88:$L$100)-MEDIAN($J$88:$L$88))</f>
        <v>0</v>
      </c>
      <c r="V57" s="372">
        <f>MEDIAN(J88:J100)-J88</f>
        <v>6</v>
      </c>
      <c r="W57" s="372">
        <f>MEDIAN(K88:K100)-K88</f>
        <v>6</v>
      </c>
      <c r="X57" s="372">
        <f>MEDIAN(L88:L100)-L88</f>
        <v>6</v>
      </c>
      <c r="AA57" s="70"/>
      <c r="AB57" s="70"/>
      <c r="AC57" s="70"/>
      <c r="AJ57" s="141"/>
      <c r="AK57" s="141"/>
    </row>
    <row r="58" spans="2:37" ht="11.1" customHeight="1">
      <c r="B58" s="23"/>
      <c r="D58" s="183"/>
      <c r="E58" s="183"/>
      <c r="F58" s="186"/>
      <c r="G58" s="187"/>
      <c r="H58" s="187"/>
      <c r="I58" s="187"/>
      <c r="J58" s="187"/>
      <c r="K58" s="187"/>
      <c r="L58" s="188"/>
      <c r="N58" s="50"/>
      <c r="P58" s="16" t="s">
        <v>13</v>
      </c>
      <c r="Q58" s="372">
        <f>MEDIAN(E100:E112)-E100-(MEDIAN($J$100:$L$112)-MEDIAN($J$100:$L$100))</f>
        <v>0</v>
      </c>
      <c r="R58" s="372">
        <f>MEDIAN(F100:F112)-F100-(MEDIAN($J$100:$L$112)-MEDIAN($J$100:$L$100))</f>
        <v>0</v>
      </c>
      <c r="S58" s="372">
        <f>MEDIAN(G100:G112)-G100-(MEDIAN($J$100:$L$112)-MEDIAN($J$100:$L$100))</f>
        <v>0</v>
      </c>
      <c r="T58" s="372">
        <f>MEDIAN(H100:H112)-H100-(MEDIAN($J$100:$L$112)-MEDIAN($J$100:$L$100))</f>
        <v>0</v>
      </c>
      <c r="U58" s="372">
        <f>MEDIAN(I100:I112)-I100-(MEDIAN($J$100:$L$112)-MEDIAN($J$100:$L$100))</f>
        <v>0</v>
      </c>
      <c r="V58" s="372">
        <f>MEDIAN(J100:J112)-J100</f>
        <v>6</v>
      </c>
      <c r="W58" s="372">
        <f>MEDIAN(K100:K112)-K100</f>
        <v>6</v>
      </c>
      <c r="X58" s="372">
        <f>MEDIAN(L100:L112)-L100</f>
        <v>6</v>
      </c>
      <c r="AA58" s="70"/>
      <c r="AB58" s="70"/>
      <c r="AC58" s="70"/>
      <c r="AJ58" s="141"/>
      <c r="AK58" s="141"/>
    </row>
    <row r="59" spans="2:37" ht="14.1" customHeight="1">
      <c r="B59" s="23"/>
      <c r="N59" s="50"/>
      <c r="P59" s="16" t="s">
        <v>14</v>
      </c>
      <c r="Q59" s="373">
        <f>MEDIAN(E112:E124)-E112-(MEDIAN($J$112:$L$124)-MEDIAN($J$112:$L$112))</f>
        <v>0</v>
      </c>
      <c r="R59" s="373">
        <f>MEDIAN(F112:F124)-F112-(MEDIAN($J$112:$L$124)-MEDIAN($J$112:$L$112))</f>
        <v>0</v>
      </c>
      <c r="S59" s="373">
        <f>MEDIAN(G112:G124)-G112-(MEDIAN($J$112:$L$124)-MEDIAN($J$112:$L$112))</f>
        <v>0</v>
      </c>
      <c r="T59" s="373">
        <f>MEDIAN(H112:H124)-H112-(MEDIAN($J$112:$L$124)-MEDIAN($J$112:$L$112))</f>
        <v>0</v>
      </c>
      <c r="U59" s="373">
        <f>MEDIAN(I112:I124)-I112-(MEDIAN($J$112:$L$124)-MEDIAN($J$112:$L$112))</f>
        <v>0</v>
      </c>
      <c r="V59" s="373">
        <f>MEDIAN(J112:J124)-J112</f>
        <v>6</v>
      </c>
      <c r="W59" s="373">
        <f>MEDIAN(K112:K124)-K112</f>
        <v>6</v>
      </c>
      <c r="X59" s="373">
        <f>MEDIAN(L112:L124)-L112</f>
        <v>6</v>
      </c>
      <c r="AA59" s="70"/>
      <c r="AB59" s="70"/>
      <c r="AC59" s="70"/>
      <c r="AJ59" s="141"/>
      <c r="AK59" s="141"/>
    </row>
    <row r="60" spans="2:37" ht="14.1" customHeight="1" thickBot="1">
      <c r="B60" s="23"/>
      <c r="N60" s="50"/>
      <c r="P60" s="16" t="s">
        <v>128</v>
      </c>
      <c r="Q60" s="373">
        <f>MEDIAN(E124:E136)-E124-(MEDIAN($J$124:$L$136)-MEDIAN($J$124:$L$124))</f>
        <v>0</v>
      </c>
      <c r="R60" s="373">
        <f>MEDIAN(F124:F136)-F124-(MEDIAN($J$124:$L$136)-MEDIAN($J$124:$L$124))</f>
        <v>0</v>
      </c>
      <c r="S60" s="373">
        <f>MEDIAN(G124:G136)-G124-(MEDIAN($J$124:$L$136)-MEDIAN($J$124:$L$124))</f>
        <v>0</v>
      </c>
      <c r="T60" s="373">
        <f>MEDIAN(H124:H136)-H124-(MEDIAN($J$124:$L$136)-MEDIAN($J$124:$L$124))</f>
        <v>0</v>
      </c>
      <c r="U60" s="373">
        <f>MEDIAN(I124:I136)-I124-(MEDIAN($J$124:$L$136)-MEDIAN($J$124:$L$124))</f>
        <v>0</v>
      </c>
      <c r="V60" s="373">
        <f>MEDIAN(J124:J136)-J124</f>
        <v>6</v>
      </c>
      <c r="W60" s="373">
        <f>MEDIAN(K124:K136)-K124</f>
        <v>6</v>
      </c>
      <c r="X60" s="373">
        <f>MEDIAN(L124:L136)-L124</f>
        <v>6</v>
      </c>
      <c r="AA60" s="70"/>
      <c r="AB60" s="70"/>
      <c r="AC60" s="70"/>
      <c r="AJ60" s="141"/>
      <c r="AK60" s="141"/>
    </row>
    <row r="61" spans="2:37" ht="14.1" customHeight="1">
      <c r="B61" s="23"/>
      <c r="E61" s="223" t="s">
        <v>94</v>
      </c>
      <c r="F61" s="224"/>
      <c r="G61" s="224"/>
      <c r="H61" s="224"/>
      <c r="I61" s="224"/>
      <c r="J61" s="224"/>
      <c r="K61" s="225"/>
      <c r="N61" s="50"/>
      <c r="P61" s="16" t="s">
        <v>129</v>
      </c>
      <c r="Q61" s="373">
        <f>MEDIAN(E136:E148)-E136-(MEDIAN($J$136:$L$148)-MEDIAN($J$136:$L$136))</f>
        <v>0</v>
      </c>
      <c r="R61" s="373">
        <f>MEDIAN(F136:F148)-F136-(MEDIAN($J$136:$L$148)-MEDIAN($J$136:$L$136))</f>
        <v>0</v>
      </c>
      <c r="S61" s="373">
        <f>MEDIAN(G136:G148)-G136-(MEDIAN($J$136:$L$148)-MEDIAN($J$136:$L$136))</f>
        <v>0</v>
      </c>
      <c r="T61" s="373">
        <f>MEDIAN(H136:H148)-H136-(MEDIAN($J$136:$L$148)-MEDIAN($J$136:$L$136))</f>
        <v>0</v>
      </c>
      <c r="U61" s="373">
        <f>MEDIAN(I136:I148)-I136-(MEDIAN($J$136:$L$148)-MEDIAN($J$136:$L$136))</f>
        <v>0</v>
      </c>
      <c r="V61" s="373">
        <f>MEDIAN(J136:J148)-J136</f>
        <v>6</v>
      </c>
      <c r="W61" s="373">
        <f>MEDIAN(K136:K148)-K136</f>
        <v>6</v>
      </c>
      <c r="X61" s="373">
        <f>MEDIAN(L136:L148)-L136</f>
        <v>6</v>
      </c>
      <c r="AA61" s="70"/>
      <c r="AB61" s="70"/>
      <c r="AC61" s="70"/>
      <c r="AJ61" s="141"/>
      <c r="AK61" s="141"/>
    </row>
    <row r="62" spans="2:37" ht="14.1" customHeight="1">
      <c r="B62" s="23"/>
      <c r="N62" s="50"/>
      <c r="P62" s="16" t="s">
        <v>130</v>
      </c>
      <c r="Q62" s="373">
        <f>MEDIAN(E148:E160)-E148-(MEDIAN($J$148:$L$160)-MEDIAN($J$148:$L$148))</f>
        <v>0</v>
      </c>
      <c r="R62" s="373">
        <f>MEDIAN(F148:F160)-F148-(MEDIAN($J$148:$L$160)-MEDIAN($J$148:$L$148))</f>
        <v>0</v>
      </c>
      <c r="S62" s="373">
        <f>MEDIAN(G148:G160)-G148-(MEDIAN($J$148:$L$160)-MEDIAN($J$148:$L$148))</f>
        <v>0</v>
      </c>
      <c r="T62" s="373">
        <f>MEDIAN(H148:H160)-H148-(MEDIAN($J$148:$L$160)-MEDIAN($J$148:$L$148))</f>
        <v>0</v>
      </c>
      <c r="U62" s="373">
        <f>MEDIAN(I148:I160)-I148-(MEDIAN($J$148:$L$160)-MEDIAN($J$148:$L$148))</f>
        <v>0</v>
      </c>
      <c r="V62" s="373">
        <f>MEDIAN(J148:J160)-J148</f>
        <v>6</v>
      </c>
      <c r="W62" s="373">
        <f>MEDIAN(K148:K160)-K148</f>
        <v>6</v>
      </c>
      <c r="X62" s="373">
        <f>MEDIAN(L148:L160)-L148</f>
        <v>6</v>
      </c>
      <c r="AA62" s="70"/>
      <c r="AB62" s="70"/>
      <c r="AC62" s="70"/>
      <c r="AJ62" s="141"/>
      <c r="AK62" s="141"/>
    </row>
    <row r="63" spans="2:37" ht="14.1" customHeight="1">
      <c r="B63" s="23"/>
      <c r="N63" s="50"/>
      <c r="P63" s="16" t="s">
        <v>131</v>
      </c>
      <c r="Q63" s="373">
        <f>MEDIAN(E160:E172)-E160-(MEDIAN($J$160:$L$172)-MEDIAN($J$160:$L$160))</f>
        <v>0</v>
      </c>
      <c r="R63" s="373">
        <f>MEDIAN(F160:F172)-F160-(MEDIAN($J$160:$L$172)-MEDIAN($J$160:$L$160))</f>
        <v>0</v>
      </c>
      <c r="S63" s="373">
        <f>MEDIAN(G160:G172)-G160-(MEDIAN($J$160:$L$172)-MEDIAN($J$160:$L$160))</f>
        <v>0</v>
      </c>
      <c r="T63" s="373">
        <f>MEDIAN(H160:H172)-H160-(MEDIAN($J$160:$L$172)-MEDIAN($J$160:$L$160))</f>
        <v>0</v>
      </c>
      <c r="U63" s="373">
        <f>MEDIAN(I160:I172)-I160-(MEDIAN($J$160:$L$172)-MEDIAN($J$160:$L$160))</f>
        <v>0</v>
      </c>
      <c r="V63" s="373">
        <f>MEDIAN(J160:J172)-J160</f>
        <v>6</v>
      </c>
      <c r="W63" s="373">
        <f>MEDIAN(K160:K172)-K160</f>
        <v>6</v>
      </c>
      <c r="X63" s="373">
        <f>MEDIAN(L160:L172)-L160</f>
        <v>6</v>
      </c>
      <c r="AA63" s="70"/>
      <c r="AB63" s="70"/>
      <c r="AC63" s="70"/>
      <c r="AJ63" s="141"/>
      <c r="AK63" s="141"/>
    </row>
    <row r="64" spans="2:37" ht="14.1" customHeight="1">
      <c r="B64" s="23"/>
      <c r="N64" s="50"/>
      <c r="P64" s="16" t="s">
        <v>132</v>
      </c>
      <c r="Q64" s="373">
        <f>MEDIAN(E172:E184)-E172-(MEDIAN($J$172:$L$184)-MEDIAN($J$172:$L$172))</f>
        <v>0</v>
      </c>
      <c r="R64" s="373">
        <f>MEDIAN(F172:F184)-F172-(MEDIAN($J$172:$L$184)-MEDIAN($J$172:$L$172))</f>
        <v>0</v>
      </c>
      <c r="S64" s="373">
        <f>MEDIAN(G172:G184)-G172-(MEDIAN($J$172:$L$184)-MEDIAN($J$172:$L$172))</f>
        <v>0</v>
      </c>
      <c r="T64" s="373">
        <f>MEDIAN(H172:H184)-H172-(MEDIAN($J$172:$L$184)-MEDIAN($J$172:$L$172))</f>
        <v>0</v>
      </c>
      <c r="U64" s="373">
        <f>MEDIAN(I172:I184)-I172-(MEDIAN($J$172:$L$184)-MEDIAN($J$172:$L$172))</f>
        <v>0</v>
      </c>
      <c r="V64" s="373">
        <f>MEDIAN(J172:J184)-J172</f>
        <v>6</v>
      </c>
      <c r="W64" s="373">
        <f>MEDIAN(K172:K184)-K172</f>
        <v>6</v>
      </c>
      <c r="X64" s="373">
        <f>MEDIAN(L172:L184)-L172</f>
        <v>6</v>
      </c>
      <c r="AA64" s="70"/>
      <c r="AB64" s="70"/>
      <c r="AC64" s="70"/>
      <c r="AJ64" s="141"/>
      <c r="AK64" s="141"/>
    </row>
    <row r="65" spans="2:37" ht="14.1" customHeight="1">
      <c r="B65" s="23"/>
      <c r="N65" s="50"/>
      <c r="P65" s="16" t="s">
        <v>133</v>
      </c>
      <c r="Q65" s="373">
        <f>MEDIAN(E184:E196)-E184-(MEDIAN($J$184:$L$196)-MEDIAN($J$184:$L$184))</f>
        <v>0</v>
      </c>
      <c r="R65" s="373">
        <f>MEDIAN(F184:F196)-F184-(MEDIAN($J$184:$L$196)-MEDIAN($J$184:$L$184))</f>
        <v>0</v>
      </c>
      <c r="S65" s="373">
        <f>MEDIAN(G184:G196)-G184-(MEDIAN($J$184:$L$196)-MEDIAN($J$184:$L$184))</f>
        <v>0</v>
      </c>
      <c r="T65" s="373">
        <f>MEDIAN(H184:H196)-H184-(MEDIAN($J$184:$L$196)-MEDIAN($J$184:$L$184))</f>
        <v>0</v>
      </c>
      <c r="U65" s="373">
        <f>MEDIAN(I184:I196)-I184-(MEDIAN($J$184:$L$196)-MEDIAN($J$184:$L$184))</f>
        <v>0</v>
      </c>
      <c r="V65" s="373">
        <f>MEDIAN(J184:J196)-J184</f>
        <v>6</v>
      </c>
      <c r="W65" s="373">
        <f>MEDIAN(K184:K196)-K184</f>
        <v>6</v>
      </c>
      <c r="X65" s="373">
        <f>MEDIAN(L184:L196)-L184</f>
        <v>6</v>
      </c>
      <c r="AA65" s="70"/>
      <c r="AB65" s="70"/>
      <c r="AC65" s="70"/>
      <c r="AJ65" s="141"/>
      <c r="AK65" s="141"/>
    </row>
    <row r="66" spans="2:37" ht="14.1" customHeight="1">
      <c r="B66" s="23"/>
      <c r="N66" s="50"/>
      <c r="P66" s="16" t="s">
        <v>134</v>
      </c>
      <c r="Q66" s="373">
        <f>MEDIAN(E196:E208)-E196-(MEDIAN($J$196:$L$208)-MEDIAN($J$196:$L$196))</f>
        <v>0</v>
      </c>
      <c r="R66" s="373">
        <f>MEDIAN(F196:F208)-F196-(MEDIAN($J$196:$L$208)-MEDIAN($J$196:$L$196))</f>
        <v>0</v>
      </c>
      <c r="S66" s="373">
        <f>MEDIAN(G196:G208)-G196-(MEDIAN($J$196:$L$208)-MEDIAN($J$196:$L$196))</f>
        <v>0</v>
      </c>
      <c r="T66" s="373">
        <f>MEDIAN(H196:H208)-H196-(MEDIAN($J$196:$L$208)-MEDIAN($J$196:$L$196))</f>
        <v>0</v>
      </c>
      <c r="U66" s="373">
        <f>MEDIAN(I196:I208)-I196-(MEDIAN($J$196:$L$208)-MEDIAN($J$196:$L$196))</f>
        <v>0</v>
      </c>
      <c r="V66" s="373">
        <f>MEDIAN(J196:J208)-J196</f>
        <v>6</v>
      </c>
      <c r="W66" s="373">
        <f>MEDIAN(K196:K208)-K196</f>
        <v>6</v>
      </c>
      <c r="X66" s="373">
        <f>MEDIAN(L196:L208)-L196</f>
        <v>6</v>
      </c>
      <c r="AA66" s="70"/>
      <c r="AB66" s="70"/>
      <c r="AC66" s="70"/>
      <c r="AJ66" s="141"/>
      <c r="AK66" s="141"/>
    </row>
    <row r="67" spans="2:37" ht="14.1" customHeight="1">
      <c r="B67" s="23"/>
      <c r="N67" s="50"/>
      <c r="P67" s="13"/>
      <c r="AA67" s="70"/>
      <c r="AB67" s="70"/>
      <c r="AC67" s="70"/>
      <c r="AJ67" s="141"/>
      <c r="AK67" s="141"/>
    </row>
    <row r="68" spans="2:37" ht="14.1" customHeight="1">
      <c r="B68" s="23"/>
      <c r="N68" s="50"/>
      <c r="P68" s="13"/>
      <c r="AA68" s="70"/>
      <c r="AB68" s="70"/>
      <c r="AC68" s="70"/>
      <c r="AJ68" s="141"/>
      <c r="AK68" s="141"/>
    </row>
    <row r="69" spans="2:37" ht="14.1" customHeight="1">
      <c r="B69" s="23"/>
      <c r="N69" s="50"/>
      <c r="P69" s="13"/>
      <c r="AA69" s="70"/>
      <c r="AB69" s="70"/>
      <c r="AC69" s="70"/>
      <c r="AJ69" s="141"/>
      <c r="AK69" s="141"/>
    </row>
    <row r="70" spans="2:37" ht="14.1" customHeight="1">
      <c r="B70" s="23"/>
      <c r="N70" s="50"/>
      <c r="P70" s="66"/>
      <c r="V70" s="67"/>
      <c r="W70" s="67"/>
      <c r="X70" s="67"/>
      <c r="AA70" s="70"/>
      <c r="AB70" s="70"/>
      <c r="AC70" s="70"/>
      <c r="AJ70" s="141"/>
      <c r="AK70" s="141"/>
    </row>
    <row r="71" spans="2:37" ht="14.1" customHeight="1">
      <c r="B71" s="23"/>
      <c r="N71" s="50"/>
      <c r="P71" s="66"/>
      <c r="V71" s="67"/>
      <c r="W71" s="67"/>
      <c r="X71" s="67"/>
      <c r="AA71" s="70"/>
      <c r="AB71" s="70"/>
      <c r="AC71" s="70"/>
      <c r="AJ71" s="141"/>
      <c r="AK71" s="141"/>
    </row>
    <row r="72" spans="2:37" ht="14.1" customHeight="1">
      <c r="B72" s="23"/>
      <c r="N72" s="50"/>
      <c r="P72" s="66"/>
      <c r="V72" s="67"/>
      <c r="W72" s="67"/>
      <c r="X72" s="67"/>
      <c r="AA72" s="70"/>
      <c r="AB72" s="70"/>
      <c r="AC72" s="70"/>
      <c r="AJ72" s="141"/>
      <c r="AK72" s="141"/>
    </row>
    <row r="73" spans="2:37" ht="14.1" customHeight="1">
      <c r="B73" s="23"/>
      <c r="N73" s="50"/>
      <c r="P73" s="66"/>
      <c r="V73" s="67"/>
      <c r="W73" s="67"/>
      <c r="X73" s="67"/>
      <c r="AA73" s="70"/>
      <c r="AB73" s="70"/>
      <c r="AC73" s="70"/>
      <c r="AJ73" s="141"/>
      <c r="AK73" s="141"/>
    </row>
    <row r="74" spans="2:37" ht="14.1" customHeight="1">
      <c r="B74" s="23"/>
      <c r="N74" s="50"/>
      <c r="P74" s="66"/>
      <c r="V74" s="67"/>
      <c r="W74" s="67"/>
      <c r="X74" s="67"/>
      <c r="AA74" s="70"/>
      <c r="AB74" s="70"/>
      <c r="AC74" s="70"/>
      <c r="AJ74" s="141"/>
      <c r="AK74" s="141"/>
    </row>
    <row r="75" spans="2:37" ht="14.1" customHeight="1">
      <c r="B75" s="23"/>
      <c r="N75" s="50"/>
      <c r="P75" s="66"/>
      <c r="V75" s="67"/>
      <c r="W75" s="67"/>
      <c r="X75" s="67"/>
      <c r="AA75" s="70"/>
      <c r="AB75" s="70"/>
      <c r="AC75" s="70"/>
      <c r="AJ75" s="141"/>
      <c r="AK75" s="141"/>
    </row>
    <row r="76" spans="2:37" ht="14.1" customHeight="1">
      <c r="B76" s="23"/>
      <c r="N76" s="50"/>
      <c r="P76" s="66"/>
      <c r="V76" s="67"/>
      <c r="W76" s="67"/>
      <c r="X76" s="67"/>
      <c r="AA76" s="70"/>
      <c r="AB76" s="70"/>
      <c r="AC76" s="70"/>
      <c r="AJ76" s="141"/>
      <c r="AK76" s="141"/>
    </row>
    <row r="77" spans="2:37" ht="14.1" customHeight="1">
      <c r="B77" s="23"/>
      <c r="N77" s="50"/>
      <c r="P77" s="66"/>
      <c r="V77" s="67"/>
      <c r="W77" s="67"/>
      <c r="X77" s="67"/>
      <c r="AA77" s="70"/>
      <c r="AB77" s="70"/>
      <c r="AC77" s="70"/>
      <c r="AJ77" s="141"/>
      <c r="AK77" s="141"/>
    </row>
    <row r="78" spans="2:37" ht="14.1" customHeight="1">
      <c r="B78" s="23"/>
      <c r="N78" s="50"/>
      <c r="P78" s="66"/>
      <c r="V78" s="67"/>
      <c r="W78" s="67"/>
      <c r="X78" s="67"/>
      <c r="AA78" s="70"/>
      <c r="AB78" s="70"/>
      <c r="AC78" s="70"/>
      <c r="AJ78" s="141"/>
      <c r="AK78" s="141"/>
    </row>
    <row r="79" spans="2:37" ht="14.1" customHeight="1">
      <c r="B79" s="23"/>
      <c r="N79" s="50"/>
      <c r="P79" s="66"/>
      <c r="V79" s="67"/>
      <c r="W79" s="67"/>
      <c r="X79" s="67"/>
      <c r="AA79" s="70"/>
      <c r="AB79" s="70"/>
      <c r="AC79" s="70"/>
      <c r="AJ79" s="141"/>
      <c r="AK79" s="141"/>
    </row>
    <row r="80" spans="2:37" ht="14.1" customHeight="1">
      <c r="B80" s="23"/>
      <c r="E80" s="15"/>
      <c r="H80" s="15"/>
      <c r="N80" s="50"/>
      <c r="P80" s="66"/>
      <c r="V80" s="67"/>
      <c r="W80" s="67"/>
      <c r="X80" s="67"/>
      <c r="AA80" s="70"/>
      <c r="AB80" s="70"/>
      <c r="AC80" s="70"/>
      <c r="AJ80" s="141"/>
      <c r="AK80" s="141"/>
    </row>
    <row r="81" spans="2:37" ht="14.1" customHeight="1">
      <c r="B81" s="23"/>
      <c r="E81" s="15"/>
      <c r="G81" s="15"/>
      <c r="H81" s="15"/>
      <c r="N81" s="50"/>
      <c r="P81" s="66"/>
      <c r="V81" s="67"/>
      <c r="W81" s="67"/>
      <c r="X81" s="67"/>
      <c r="AA81" s="70"/>
      <c r="AB81" s="70"/>
      <c r="AC81" s="70"/>
      <c r="AJ81" s="141"/>
      <c r="AK81" s="141"/>
    </row>
    <row r="82" spans="2:37" ht="14.1" customHeight="1">
      <c r="B82" s="23"/>
      <c r="H82" s="15"/>
      <c r="N82" s="50"/>
      <c r="P82" s="66"/>
      <c r="V82" s="67"/>
      <c r="W82" s="67"/>
      <c r="X82" s="67"/>
      <c r="AA82" s="70"/>
      <c r="AB82" s="70"/>
      <c r="AC82" s="70"/>
      <c r="AJ82" s="141"/>
      <c r="AK82" s="141"/>
    </row>
    <row r="83" spans="2:37" ht="14.1" customHeight="1">
      <c r="B83" s="23"/>
      <c r="N83" s="50"/>
      <c r="P83" s="66"/>
      <c r="V83" s="67"/>
      <c r="W83" s="67"/>
      <c r="X83" s="67"/>
      <c r="AA83" s="70"/>
      <c r="AB83" s="70"/>
      <c r="AC83" s="70"/>
      <c r="AJ83" s="141"/>
      <c r="AK83" s="141"/>
    </row>
    <row r="84" spans="2:37" ht="14.1" customHeight="1">
      <c r="B84" s="207" t="s">
        <v>81</v>
      </c>
      <c r="C84" s="208"/>
      <c r="D84" s="208"/>
      <c r="E84" s="208"/>
      <c r="F84" s="208"/>
      <c r="G84" s="208"/>
      <c r="H84" s="208"/>
      <c r="I84" s="208"/>
      <c r="J84" s="208"/>
      <c r="K84" s="208"/>
      <c r="L84" s="208"/>
      <c r="M84" s="208"/>
      <c r="N84" s="209"/>
      <c r="P84" s="66"/>
      <c r="V84" s="67"/>
      <c r="W84" s="67"/>
      <c r="X84" s="67"/>
      <c r="AA84" s="70"/>
      <c r="AB84" s="70"/>
      <c r="AC84" s="70"/>
      <c r="AJ84" s="141"/>
      <c r="AK84" s="141"/>
    </row>
    <row r="85" spans="2:37" ht="14.1" customHeight="1">
      <c r="B85" s="23"/>
      <c r="N85" s="50"/>
      <c r="P85" s="66"/>
      <c r="V85" s="67"/>
      <c r="W85" s="67"/>
      <c r="X85" s="67"/>
      <c r="AA85" s="70"/>
      <c r="AB85" s="70"/>
      <c r="AC85" s="70"/>
      <c r="AJ85" s="141"/>
      <c r="AK85" s="141"/>
    </row>
    <row r="86" spans="2:37" ht="14.1" customHeight="1">
      <c r="B86" s="23"/>
      <c r="C86" s="59"/>
      <c r="D86" s="166" t="s">
        <v>82</v>
      </c>
      <c r="E86" s="167"/>
      <c r="F86" s="167"/>
      <c r="G86" s="167"/>
      <c r="H86" s="167"/>
      <c r="I86" s="167"/>
      <c r="J86" s="170" t="s">
        <v>0</v>
      </c>
      <c r="K86" s="171"/>
      <c r="L86" s="172"/>
      <c r="N86" s="50"/>
      <c r="P86" s="66"/>
      <c r="V86" s="67"/>
      <c r="W86" s="67"/>
      <c r="X86" s="67"/>
      <c r="AA86" s="70"/>
      <c r="AB86" s="70"/>
      <c r="AC86" s="70"/>
      <c r="AJ86" s="141"/>
      <c r="AK86" s="141"/>
    </row>
    <row r="87" spans="2:37" ht="14.1" customHeight="1">
      <c r="B87" s="23"/>
      <c r="C87" s="59"/>
      <c r="D87" s="36" t="s">
        <v>1</v>
      </c>
      <c r="E87" s="17" t="s">
        <v>3</v>
      </c>
      <c r="F87" s="17" t="s">
        <v>4</v>
      </c>
      <c r="G87" s="17" t="s">
        <v>5</v>
      </c>
      <c r="H87" s="17" t="s">
        <v>6</v>
      </c>
      <c r="I87" s="17" t="s">
        <v>7</v>
      </c>
      <c r="J87" s="17" t="s">
        <v>8</v>
      </c>
      <c r="K87" s="17" t="s">
        <v>9</v>
      </c>
      <c r="L87" s="17" t="s">
        <v>10</v>
      </c>
      <c r="N87" s="50"/>
      <c r="P87" s="66"/>
      <c r="V87" s="67"/>
      <c r="W87" s="67"/>
      <c r="X87" s="67"/>
      <c r="AA87" s="70"/>
      <c r="AB87" s="70"/>
      <c r="AC87" s="70"/>
      <c r="AJ87" s="141"/>
      <c r="AK87" s="141"/>
    </row>
    <row r="88" spans="2:37" ht="14.1" customHeight="1">
      <c r="B88" s="23"/>
      <c r="C88" s="72">
        <v>0.3354166666666667</v>
      </c>
      <c r="D88" s="16">
        <v>0</v>
      </c>
      <c r="E88" s="68">
        <v>1</v>
      </c>
      <c r="F88" s="68">
        <v>1</v>
      </c>
      <c r="G88" s="68">
        <v>1</v>
      </c>
      <c r="H88" s="68">
        <v>1</v>
      </c>
      <c r="I88" s="68">
        <v>1</v>
      </c>
      <c r="J88" s="68">
        <v>1</v>
      </c>
      <c r="K88" s="68">
        <v>1</v>
      </c>
      <c r="L88" s="68">
        <v>1</v>
      </c>
      <c r="N88" s="50"/>
      <c r="P88" s="66"/>
      <c r="V88" s="67"/>
      <c r="W88" s="67"/>
      <c r="X88" s="67"/>
      <c r="AA88" s="70"/>
      <c r="AB88" s="70"/>
      <c r="AC88" s="70"/>
      <c r="AJ88" s="142">
        <v>36.200000000000003</v>
      </c>
      <c r="AK88" s="141"/>
    </row>
    <row r="89" spans="2:37" ht="14.1" customHeight="1">
      <c r="B89" s="23"/>
      <c r="C89" s="72">
        <f>C88+0.0035</f>
        <v>0.3389166666666667</v>
      </c>
      <c r="D89" s="16">
        <v>5</v>
      </c>
      <c r="E89" s="68">
        <v>2</v>
      </c>
      <c r="F89" s="68">
        <v>2</v>
      </c>
      <c r="G89" s="68">
        <v>2</v>
      </c>
      <c r="H89" s="68">
        <v>2</v>
      </c>
      <c r="I89" s="68">
        <v>2</v>
      </c>
      <c r="J89" s="68">
        <v>2</v>
      </c>
      <c r="K89" s="68">
        <v>2</v>
      </c>
      <c r="L89" s="68">
        <v>2</v>
      </c>
      <c r="N89" s="50"/>
      <c r="P89" s="66"/>
      <c r="V89" s="67"/>
      <c r="W89" s="67"/>
      <c r="X89" s="67"/>
      <c r="AA89" s="70"/>
      <c r="AB89" s="70"/>
      <c r="AC89" s="70"/>
      <c r="AJ89" s="141"/>
      <c r="AK89" s="141"/>
    </row>
    <row r="90" spans="2:37" ht="14.1" customHeight="1">
      <c r="B90" s="23"/>
      <c r="C90" s="72">
        <f t="shared" ref="C90:C116" si="0">C89+0.0035</f>
        <v>0.3424166666666667</v>
      </c>
      <c r="D90" s="16">
        <v>10</v>
      </c>
      <c r="E90" s="68">
        <v>3</v>
      </c>
      <c r="F90" s="68">
        <v>3</v>
      </c>
      <c r="G90" s="68">
        <v>3</v>
      </c>
      <c r="H90" s="68">
        <v>3</v>
      </c>
      <c r="I90" s="68">
        <v>3</v>
      </c>
      <c r="J90" s="68">
        <v>3</v>
      </c>
      <c r="K90" s="68">
        <v>3</v>
      </c>
      <c r="L90" s="68">
        <v>3</v>
      </c>
      <c r="N90" s="50"/>
      <c r="P90" s="66"/>
      <c r="V90" s="67"/>
      <c r="W90" s="67"/>
      <c r="X90" s="67"/>
      <c r="AA90" s="70"/>
      <c r="AB90" s="70"/>
      <c r="AC90" s="70"/>
      <c r="AJ90" s="141"/>
      <c r="AK90" s="141"/>
    </row>
    <row r="91" spans="2:37" ht="14.1" customHeight="1">
      <c r="B91" s="23"/>
      <c r="C91" s="72">
        <f t="shared" si="0"/>
        <v>0.34591666666666671</v>
      </c>
      <c r="D91" s="16">
        <v>15</v>
      </c>
      <c r="E91" s="68">
        <v>4</v>
      </c>
      <c r="F91" s="68">
        <v>4</v>
      </c>
      <c r="G91" s="68">
        <v>4</v>
      </c>
      <c r="H91" s="68">
        <v>4</v>
      </c>
      <c r="I91" s="68">
        <v>4</v>
      </c>
      <c r="J91" s="68">
        <v>4</v>
      </c>
      <c r="K91" s="68">
        <v>4</v>
      </c>
      <c r="L91" s="68">
        <v>4</v>
      </c>
      <c r="N91" s="50"/>
      <c r="P91" s="66"/>
      <c r="V91" s="67"/>
      <c r="W91" s="67"/>
      <c r="X91" s="67"/>
      <c r="AA91" s="70"/>
      <c r="AB91" s="70"/>
      <c r="AC91" s="70"/>
      <c r="AJ91" s="141"/>
      <c r="AK91" s="141"/>
    </row>
    <row r="92" spans="2:37" ht="14.1" customHeight="1">
      <c r="B92" s="23"/>
      <c r="C92" s="72">
        <f t="shared" si="0"/>
        <v>0.34941666666666671</v>
      </c>
      <c r="D92" s="16">
        <v>20</v>
      </c>
      <c r="E92" s="68">
        <v>5</v>
      </c>
      <c r="F92" s="68">
        <v>5</v>
      </c>
      <c r="G92" s="68">
        <v>5</v>
      </c>
      <c r="H92" s="68">
        <v>5</v>
      </c>
      <c r="I92" s="68">
        <v>5</v>
      </c>
      <c r="J92" s="68">
        <v>5</v>
      </c>
      <c r="K92" s="68">
        <v>5</v>
      </c>
      <c r="L92" s="68">
        <v>5</v>
      </c>
      <c r="N92" s="50"/>
      <c r="P92" s="66"/>
      <c r="V92" s="67"/>
      <c r="W92" s="67"/>
      <c r="X92" s="67"/>
      <c r="AA92" s="70"/>
      <c r="AB92" s="70"/>
      <c r="AC92" s="70"/>
      <c r="AJ92" s="141"/>
      <c r="AK92" s="141"/>
    </row>
    <row r="93" spans="2:37" ht="14.1" customHeight="1">
      <c r="B93" s="23"/>
      <c r="C93" s="72">
        <f t="shared" si="0"/>
        <v>0.35291666666666671</v>
      </c>
      <c r="D93" s="16">
        <v>25</v>
      </c>
      <c r="E93" s="68">
        <v>6</v>
      </c>
      <c r="F93" s="68">
        <v>6</v>
      </c>
      <c r="G93" s="68">
        <v>6</v>
      </c>
      <c r="H93" s="68">
        <v>6</v>
      </c>
      <c r="I93" s="68">
        <v>6</v>
      </c>
      <c r="J93" s="68">
        <v>6</v>
      </c>
      <c r="K93" s="68">
        <v>6</v>
      </c>
      <c r="L93" s="68">
        <v>6</v>
      </c>
      <c r="N93" s="50"/>
      <c r="P93" s="66"/>
      <c r="V93" s="67"/>
      <c r="W93" s="67"/>
      <c r="X93" s="67"/>
      <c r="AA93" s="70"/>
      <c r="AB93" s="70"/>
      <c r="AC93" s="70"/>
      <c r="AJ93" s="141">
        <v>4.6795999999999998</v>
      </c>
      <c r="AK93" s="141"/>
    </row>
    <row r="94" spans="2:37" ht="14.1" customHeight="1">
      <c r="B94" s="23"/>
      <c r="C94" s="72">
        <f t="shared" si="0"/>
        <v>0.35641666666666671</v>
      </c>
      <c r="D94" s="65">
        <v>30</v>
      </c>
      <c r="E94" s="69">
        <v>7</v>
      </c>
      <c r="F94" s="69">
        <v>7</v>
      </c>
      <c r="G94" s="69">
        <v>7</v>
      </c>
      <c r="H94" s="69">
        <v>7</v>
      </c>
      <c r="I94" s="69">
        <v>7</v>
      </c>
      <c r="J94" s="69">
        <v>7</v>
      </c>
      <c r="K94" s="69">
        <v>7</v>
      </c>
      <c r="L94" s="69">
        <v>7</v>
      </c>
      <c r="N94" s="50"/>
      <c r="P94" s="66"/>
      <c r="V94" s="67"/>
      <c r="W94" s="67"/>
      <c r="X94" s="67"/>
      <c r="AA94" s="70"/>
      <c r="AB94" s="70"/>
      <c r="AC94" s="70"/>
      <c r="AJ94" s="141"/>
      <c r="AK94" s="141"/>
    </row>
    <row r="95" spans="2:37" ht="14.1" customHeight="1">
      <c r="B95" s="23"/>
      <c r="C95" s="72">
        <f t="shared" si="0"/>
        <v>0.35991666666666672</v>
      </c>
      <c r="D95" s="16">
        <v>35</v>
      </c>
      <c r="E95" s="68">
        <v>8</v>
      </c>
      <c r="F95" s="68">
        <v>8</v>
      </c>
      <c r="G95" s="68">
        <v>8</v>
      </c>
      <c r="H95" s="68">
        <v>8</v>
      </c>
      <c r="I95" s="68">
        <v>8</v>
      </c>
      <c r="J95" s="68">
        <v>8</v>
      </c>
      <c r="K95" s="68">
        <v>8</v>
      </c>
      <c r="L95" s="68">
        <v>8</v>
      </c>
      <c r="N95" s="50"/>
      <c r="P95" s="66"/>
      <c r="V95" s="67"/>
      <c r="W95" s="67"/>
      <c r="X95" s="67"/>
      <c r="AA95" s="70"/>
      <c r="AB95" s="70"/>
      <c r="AC95" s="70"/>
      <c r="AJ95" s="141"/>
      <c r="AK95" s="141"/>
    </row>
    <row r="96" spans="2:37" ht="14.1" customHeight="1">
      <c r="B96" s="23"/>
      <c r="C96" s="72">
        <f t="shared" si="0"/>
        <v>0.36341666666666672</v>
      </c>
      <c r="D96" s="16">
        <v>40</v>
      </c>
      <c r="E96" s="68">
        <v>9</v>
      </c>
      <c r="F96" s="68">
        <v>9</v>
      </c>
      <c r="G96" s="68">
        <v>9</v>
      </c>
      <c r="H96" s="68">
        <v>9</v>
      </c>
      <c r="I96" s="68">
        <v>9</v>
      </c>
      <c r="J96" s="68">
        <v>9</v>
      </c>
      <c r="K96" s="68">
        <v>9</v>
      </c>
      <c r="L96" s="68">
        <v>9</v>
      </c>
      <c r="N96" s="50"/>
      <c r="P96" s="66"/>
      <c r="V96" s="67"/>
      <c r="W96" s="67"/>
      <c r="X96" s="67"/>
      <c r="AA96" s="70"/>
      <c r="AB96" s="70"/>
      <c r="AC96" s="70"/>
      <c r="AJ96" s="141"/>
      <c r="AK96" s="141"/>
    </row>
    <row r="97" spans="2:37" ht="14.1" customHeight="1">
      <c r="B97" s="23"/>
      <c r="C97" s="72">
        <f t="shared" si="0"/>
        <v>0.36691666666666672</v>
      </c>
      <c r="D97" s="16">
        <v>45</v>
      </c>
      <c r="E97" s="68">
        <v>10</v>
      </c>
      <c r="F97" s="68">
        <v>10</v>
      </c>
      <c r="G97" s="68">
        <v>10</v>
      </c>
      <c r="H97" s="68">
        <v>10</v>
      </c>
      <c r="I97" s="68">
        <v>10</v>
      </c>
      <c r="J97" s="68">
        <v>10</v>
      </c>
      <c r="K97" s="68">
        <v>10</v>
      </c>
      <c r="L97" s="68">
        <v>10</v>
      </c>
      <c r="N97" s="50"/>
      <c r="P97" s="66"/>
      <c r="V97" s="67"/>
      <c r="W97" s="67"/>
      <c r="X97" s="67"/>
      <c r="AA97" s="70"/>
      <c r="AB97" s="70"/>
      <c r="AC97" s="70"/>
      <c r="AJ97" s="141"/>
      <c r="AK97" s="141"/>
    </row>
    <row r="98" spans="2:37" ht="14.1" customHeight="1">
      <c r="B98" s="23"/>
      <c r="C98" s="72">
        <f t="shared" si="0"/>
        <v>0.37041666666666673</v>
      </c>
      <c r="D98" s="16">
        <v>50</v>
      </c>
      <c r="E98" s="68">
        <v>11</v>
      </c>
      <c r="F98" s="68">
        <v>11</v>
      </c>
      <c r="G98" s="68">
        <v>11</v>
      </c>
      <c r="H98" s="68">
        <v>11</v>
      </c>
      <c r="I98" s="68">
        <v>11</v>
      </c>
      <c r="J98" s="68">
        <v>11</v>
      </c>
      <c r="K98" s="68">
        <v>11</v>
      </c>
      <c r="L98" s="68">
        <v>11</v>
      </c>
      <c r="N98" s="50"/>
      <c r="P98" s="66"/>
      <c r="V98" s="67"/>
      <c r="W98" s="67"/>
      <c r="X98" s="67"/>
      <c r="AA98" s="70"/>
      <c r="AB98" s="70"/>
      <c r="AC98" s="70"/>
      <c r="AJ98" s="141"/>
      <c r="AK98" s="141"/>
    </row>
    <row r="99" spans="2:37" ht="14.1" customHeight="1">
      <c r="B99" s="23"/>
      <c r="C99" s="72">
        <f t="shared" si="0"/>
        <v>0.37391666666666673</v>
      </c>
      <c r="D99" s="16">
        <v>55</v>
      </c>
      <c r="E99" s="68">
        <v>12</v>
      </c>
      <c r="F99" s="68">
        <v>12</v>
      </c>
      <c r="G99" s="68">
        <v>12</v>
      </c>
      <c r="H99" s="68">
        <v>12</v>
      </c>
      <c r="I99" s="68">
        <v>12</v>
      </c>
      <c r="J99" s="68">
        <v>12</v>
      </c>
      <c r="K99" s="68">
        <v>12</v>
      </c>
      <c r="L99" s="68">
        <v>12</v>
      </c>
      <c r="N99" s="50"/>
      <c r="AJ99" s="141"/>
      <c r="AK99" s="141"/>
    </row>
    <row r="100" spans="2:37" ht="13.5" customHeight="1">
      <c r="B100" s="23"/>
      <c r="C100" s="72">
        <f t="shared" si="0"/>
        <v>0.37741666666666673</v>
      </c>
      <c r="D100" s="65">
        <v>60</v>
      </c>
      <c r="E100" s="69">
        <v>13</v>
      </c>
      <c r="F100" s="69">
        <v>13</v>
      </c>
      <c r="G100" s="69">
        <v>13</v>
      </c>
      <c r="H100" s="69">
        <v>13</v>
      </c>
      <c r="I100" s="69">
        <v>13</v>
      </c>
      <c r="J100" s="69">
        <v>13</v>
      </c>
      <c r="K100" s="69">
        <v>13</v>
      </c>
      <c r="L100" s="69">
        <v>13</v>
      </c>
      <c r="N100" s="50"/>
    </row>
    <row r="101" spans="2:37" ht="14.1" customHeight="1">
      <c r="B101" s="23"/>
      <c r="C101" s="72">
        <f t="shared" si="0"/>
        <v>0.38091666666666674</v>
      </c>
      <c r="D101" s="16">
        <v>65</v>
      </c>
      <c r="E101" s="68">
        <v>14</v>
      </c>
      <c r="F101" s="68">
        <v>14</v>
      </c>
      <c r="G101" s="68">
        <v>14</v>
      </c>
      <c r="H101" s="68">
        <v>14</v>
      </c>
      <c r="I101" s="68">
        <v>14</v>
      </c>
      <c r="J101" s="68">
        <v>14</v>
      </c>
      <c r="K101" s="68">
        <v>14</v>
      </c>
      <c r="L101" s="68">
        <v>14</v>
      </c>
      <c r="N101" s="50"/>
    </row>
    <row r="102" spans="2:37" ht="14.1" customHeight="1">
      <c r="B102" s="23"/>
      <c r="C102" s="72">
        <f t="shared" si="0"/>
        <v>0.38441666666666674</v>
      </c>
      <c r="D102" s="16">
        <v>70</v>
      </c>
      <c r="E102" s="68">
        <v>15</v>
      </c>
      <c r="F102" s="68">
        <v>15</v>
      </c>
      <c r="G102" s="68">
        <v>15</v>
      </c>
      <c r="H102" s="68">
        <v>15</v>
      </c>
      <c r="I102" s="68">
        <v>15</v>
      </c>
      <c r="J102" s="68">
        <v>15</v>
      </c>
      <c r="K102" s="68">
        <v>15</v>
      </c>
      <c r="L102" s="68">
        <v>15</v>
      </c>
      <c r="N102" s="50"/>
    </row>
    <row r="103" spans="2:37" ht="14.1" customHeight="1">
      <c r="B103" s="23"/>
      <c r="C103" s="72">
        <f t="shared" si="0"/>
        <v>0.38791666666666674</v>
      </c>
      <c r="D103" s="16">
        <v>75</v>
      </c>
      <c r="E103" s="68">
        <v>16</v>
      </c>
      <c r="F103" s="68">
        <v>16</v>
      </c>
      <c r="G103" s="68">
        <v>16</v>
      </c>
      <c r="H103" s="68">
        <v>16</v>
      </c>
      <c r="I103" s="68">
        <v>16</v>
      </c>
      <c r="J103" s="68">
        <v>16</v>
      </c>
      <c r="K103" s="68">
        <v>16</v>
      </c>
      <c r="L103" s="68">
        <v>16</v>
      </c>
      <c r="N103" s="50"/>
    </row>
    <row r="104" spans="2:37" ht="14.1" customHeight="1">
      <c r="B104" s="23"/>
      <c r="C104" s="72">
        <f t="shared" si="0"/>
        <v>0.39141666666666675</v>
      </c>
      <c r="D104" s="16">
        <v>80</v>
      </c>
      <c r="E104" s="68">
        <v>17</v>
      </c>
      <c r="F104" s="68">
        <v>17</v>
      </c>
      <c r="G104" s="68">
        <v>17</v>
      </c>
      <c r="H104" s="68">
        <v>17</v>
      </c>
      <c r="I104" s="68">
        <v>17</v>
      </c>
      <c r="J104" s="68">
        <v>17</v>
      </c>
      <c r="K104" s="68">
        <v>17</v>
      </c>
      <c r="L104" s="68">
        <v>17</v>
      </c>
      <c r="N104" s="50"/>
    </row>
    <row r="105" spans="2:37" ht="14.1" customHeight="1">
      <c r="B105" s="23"/>
      <c r="C105" s="72">
        <f t="shared" si="0"/>
        <v>0.39491666666666675</v>
      </c>
      <c r="D105" s="16">
        <v>85</v>
      </c>
      <c r="E105" s="68">
        <v>18</v>
      </c>
      <c r="F105" s="68">
        <v>18</v>
      </c>
      <c r="G105" s="68">
        <v>18</v>
      </c>
      <c r="H105" s="68">
        <v>18</v>
      </c>
      <c r="I105" s="68">
        <v>18</v>
      </c>
      <c r="J105" s="68">
        <v>18</v>
      </c>
      <c r="K105" s="68">
        <v>18</v>
      </c>
      <c r="L105" s="68">
        <v>18</v>
      </c>
      <c r="N105" s="50"/>
    </row>
    <row r="106" spans="2:37" ht="14.1" customHeight="1">
      <c r="B106" s="23"/>
      <c r="C106" s="72">
        <f t="shared" si="0"/>
        <v>0.39841666666666675</v>
      </c>
      <c r="D106" s="65">
        <v>90</v>
      </c>
      <c r="E106" s="69">
        <v>19</v>
      </c>
      <c r="F106" s="69">
        <v>19</v>
      </c>
      <c r="G106" s="69">
        <v>19</v>
      </c>
      <c r="H106" s="69">
        <v>19</v>
      </c>
      <c r="I106" s="69">
        <v>19</v>
      </c>
      <c r="J106" s="69">
        <v>19</v>
      </c>
      <c r="K106" s="69">
        <v>19</v>
      </c>
      <c r="L106" s="69">
        <v>19</v>
      </c>
      <c r="N106" s="50"/>
    </row>
    <row r="107" spans="2:37" ht="14.1" customHeight="1">
      <c r="B107" s="23"/>
      <c r="C107" s="72">
        <f t="shared" si="0"/>
        <v>0.40191666666666676</v>
      </c>
      <c r="D107" s="16">
        <v>95</v>
      </c>
      <c r="E107" s="68">
        <v>20</v>
      </c>
      <c r="F107" s="68">
        <v>20</v>
      </c>
      <c r="G107" s="68">
        <v>20</v>
      </c>
      <c r="H107" s="68">
        <v>20</v>
      </c>
      <c r="I107" s="68">
        <v>20</v>
      </c>
      <c r="J107" s="68">
        <v>20</v>
      </c>
      <c r="K107" s="68">
        <v>20</v>
      </c>
      <c r="L107" s="68">
        <v>20</v>
      </c>
      <c r="N107" s="50"/>
    </row>
    <row r="108" spans="2:37" ht="14.1" customHeight="1">
      <c r="B108" s="23"/>
      <c r="C108" s="72">
        <f t="shared" si="0"/>
        <v>0.40541666666666676</v>
      </c>
      <c r="D108" s="16">
        <v>100</v>
      </c>
      <c r="E108" s="68">
        <v>21</v>
      </c>
      <c r="F108" s="68">
        <v>21</v>
      </c>
      <c r="G108" s="68">
        <v>21</v>
      </c>
      <c r="H108" s="68">
        <v>21</v>
      </c>
      <c r="I108" s="68">
        <v>21</v>
      </c>
      <c r="J108" s="68">
        <v>21</v>
      </c>
      <c r="K108" s="68">
        <v>21</v>
      </c>
      <c r="L108" s="68">
        <v>21</v>
      </c>
      <c r="N108" s="50"/>
    </row>
    <row r="109" spans="2:37" ht="14.1" customHeight="1">
      <c r="B109" s="23"/>
      <c r="C109" s="72">
        <f t="shared" si="0"/>
        <v>0.40891666666666676</v>
      </c>
      <c r="D109" s="16">
        <v>105</v>
      </c>
      <c r="E109" s="68">
        <v>22</v>
      </c>
      <c r="F109" s="68">
        <v>22</v>
      </c>
      <c r="G109" s="68">
        <v>22</v>
      </c>
      <c r="H109" s="68">
        <v>22</v>
      </c>
      <c r="I109" s="68">
        <v>22</v>
      </c>
      <c r="J109" s="68">
        <v>22</v>
      </c>
      <c r="K109" s="68">
        <v>22</v>
      </c>
      <c r="L109" s="68">
        <v>22</v>
      </c>
      <c r="N109" s="50"/>
    </row>
    <row r="110" spans="2:37" ht="14.1" customHeight="1">
      <c r="B110" s="23"/>
      <c r="C110" s="72">
        <f t="shared" si="0"/>
        <v>0.41241666666666676</v>
      </c>
      <c r="D110" s="16">
        <v>110</v>
      </c>
      <c r="E110" s="68">
        <v>23</v>
      </c>
      <c r="F110" s="68">
        <v>23</v>
      </c>
      <c r="G110" s="68">
        <v>23</v>
      </c>
      <c r="H110" s="68">
        <v>23</v>
      </c>
      <c r="I110" s="68">
        <v>23</v>
      </c>
      <c r="J110" s="68">
        <v>23</v>
      </c>
      <c r="K110" s="68">
        <v>23</v>
      </c>
      <c r="L110" s="68">
        <v>23</v>
      </c>
      <c r="N110" s="50"/>
    </row>
    <row r="111" spans="2:37" ht="14.1" customHeight="1">
      <c r="B111" s="23"/>
      <c r="C111" s="72">
        <f t="shared" si="0"/>
        <v>0.41591666666666677</v>
      </c>
      <c r="D111" s="16">
        <v>115</v>
      </c>
      <c r="E111" s="68">
        <v>24</v>
      </c>
      <c r="F111" s="68">
        <v>24</v>
      </c>
      <c r="G111" s="68">
        <v>24</v>
      </c>
      <c r="H111" s="68">
        <v>24</v>
      </c>
      <c r="I111" s="68">
        <v>24</v>
      </c>
      <c r="J111" s="68">
        <v>24</v>
      </c>
      <c r="K111" s="68">
        <v>24</v>
      </c>
      <c r="L111" s="68">
        <v>24</v>
      </c>
      <c r="N111" s="50"/>
    </row>
    <row r="112" spans="2:37" ht="14.1" customHeight="1">
      <c r="B112" s="23"/>
      <c r="C112" s="72">
        <f t="shared" si="0"/>
        <v>0.41941666666666677</v>
      </c>
      <c r="D112" s="65">
        <v>120</v>
      </c>
      <c r="E112" s="69">
        <v>25</v>
      </c>
      <c r="F112" s="69">
        <v>25</v>
      </c>
      <c r="G112" s="69">
        <v>25</v>
      </c>
      <c r="H112" s="69">
        <v>25</v>
      </c>
      <c r="I112" s="69">
        <v>25</v>
      </c>
      <c r="J112" s="69">
        <v>25</v>
      </c>
      <c r="K112" s="69">
        <v>25</v>
      </c>
      <c r="L112" s="69">
        <v>25</v>
      </c>
      <c r="N112" s="50"/>
    </row>
    <row r="113" spans="2:37" ht="14.1" customHeight="1">
      <c r="B113" s="23"/>
      <c r="C113" s="72">
        <f>C112+0.0034</f>
        <v>0.42281666666666679</v>
      </c>
      <c r="D113" s="16">
        <v>125</v>
      </c>
      <c r="E113" s="68">
        <v>26</v>
      </c>
      <c r="F113" s="68">
        <v>26</v>
      </c>
      <c r="G113" s="68">
        <v>26</v>
      </c>
      <c r="H113" s="68">
        <v>26</v>
      </c>
      <c r="I113" s="68">
        <v>26</v>
      </c>
      <c r="J113" s="68">
        <v>26</v>
      </c>
      <c r="K113" s="68">
        <v>26</v>
      </c>
      <c r="L113" s="68">
        <v>26</v>
      </c>
      <c r="N113" s="50"/>
    </row>
    <row r="114" spans="2:37" ht="14.1" customHeight="1">
      <c r="B114" s="23"/>
      <c r="C114" s="72">
        <f t="shared" si="0"/>
        <v>0.42631666666666679</v>
      </c>
      <c r="D114" s="16">
        <v>130</v>
      </c>
      <c r="E114" s="68">
        <v>27</v>
      </c>
      <c r="F114" s="68">
        <v>27</v>
      </c>
      <c r="G114" s="68">
        <v>27</v>
      </c>
      <c r="H114" s="68">
        <v>27</v>
      </c>
      <c r="I114" s="68">
        <v>27</v>
      </c>
      <c r="J114" s="68">
        <v>27</v>
      </c>
      <c r="K114" s="68">
        <v>27</v>
      </c>
      <c r="L114" s="68">
        <v>27</v>
      </c>
      <c r="N114" s="50"/>
    </row>
    <row r="115" spans="2:37" ht="14.1" customHeight="1">
      <c r="B115" s="23"/>
      <c r="C115" s="72">
        <f t="shared" si="0"/>
        <v>0.42981666666666679</v>
      </c>
      <c r="D115" s="16">
        <v>135</v>
      </c>
      <c r="E115" s="68">
        <v>28</v>
      </c>
      <c r="F115" s="68">
        <v>28</v>
      </c>
      <c r="G115" s="68">
        <v>28</v>
      </c>
      <c r="H115" s="68">
        <v>28</v>
      </c>
      <c r="I115" s="68">
        <v>28</v>
      </c>
      <c r="J115" s="68">
        <v>28</v>
      </c>
      <c r="K115" s="68">
        <v>28</v>
      </c>
      <c r="L115" s="68">
        <v>28</v>
      </c>
      <c r="N115" s="50"/>
    </row>
    <row r="116" spans="2:37" ht="14.1" customHeight="1">
      <c r="B116" s="23"/>
      <c r="C116" s="72">
        <f t="shared" si="0"/>
        <v>0.43331666666666679</v>
      </c>
      <c r="D116" s="16">
        <v>140</v>
      </c>
      <c r="E116" s="68">
        <v>29</v>
      </c>
      <c r="F116" s="68">
        <v>29</v>
      </c>
      <c r="G116" s="68">
        <v>29</v>
      </c>
      <c r="H116" s="68">
        <v>29</v>
      </c>
      <c r="I116" s="68">
        <v>29</v>
      </c>
      <c r="J116" s="68">
        <v>29</v>
      </c>
      <c r="K116" s="68">
        <v>29</v>
      </c>
      <c r="L116" s="68">
        <v>29</v>
      </c>
      <c r="N116" s="50"/>
    </row>
    <row r="117" spans="2:37" ht="14.1" customHeight="1">
      <c r="B117" s="23"/>
      <c r="C117" s="72">
        <f>C116+0.0034</f>
        <v>0.43671666666666681</v>
      </c>
      <c r="D117" s="16">
        <v>145</v>
      </c>
      <c r="E117" s="68">
        <v>30</v>
      </c>
      <c r="F117" s="68">
        <v>30</v>
      </c>
      <c r="G117" s="68">
        <v>30</v>
      </c>
      <c r="H117" s="68">
        <v>30</v>
      </c>
      <c r="I117" s="68">
        <v>30</v>
      </c>
      <c r="J117" s="68">
        <v>30</v>
      </c>
      <c r="K117" s="68">
        <v>30</v>
      </c>
      <c r="L117" s="68">
        <v>30</v>
      </c>
      <c r="N117" s="50"/>
      <c r="AE117" s="70"/>
      <c r="AF117" s="70"/>
      <c r="AG117" s="70"/>
      <c r="AH117" s="70"/>
      <c r="AI117" s="70"/>
      <c r="AJ117" s="70"/>
      <c r="AK117" s="70"/>
    </row>
    <row r="118" spans="2:37" ht="14.1" customHeight="1">
      <c r="B118" s="23"/>
      <c r="C118" s="72">
        <f t="shared" ref="C118:C181" si="1">C117+0.0034</f>
        <v>0.44011666666666682</v>
      </c>
      <c r="D118" s="65">
        <v>150</v>
      </c>
      <c r="E118" s="69">
        <v>31</v>
      </c>
      <c r="F118" s="69">
        <v>31</v>
      </c>
      <c r="G118" s="69">
        <v>31</v>
      </c>
      <c r="H118" s="69">
        <v>31</v>
      </c>
      <c r="I118" s="69">
        <v>31</v>
      </c>
      <c r="J118" s="69">
        <v>31</v>
      </c>
      <c r="K118" s="69">
        <v>31</v>
      </c>
      <c r="L118" s="69">
        <v>31</v>
      </c>
      <c r="N118" s="50"/>
      <c r="AE118" s="70"/>
      <c r="AF118" s="70"/>
      <c r="AG118" s="70"/>
      <c r="AH118" s="70"/>
      <c r="AI118" s="70"/>
      <c r="AJ118" s="70"/>
      <c r="AK118" s="70"/>
    </row>
    <row r="119" spans="2:37" ht="14.1" customHeight="1">
      <c r="B119" s="23"/>
      <c r="C119" s="72">
        <f t="shared" si="1"/>
        <v>0.44351666666666684</v>
      </c>
      <c r="D119" s="16">
        <v>155</v>
      </c>
      <c r="E119" s="68">
        <v>32</v>
      </c>
      <c r="F119" s="68">
        <v>32</v>
      </c>
      <c r="G119" s="68">
        <v>32</v>
      </c>
      <c r="H119" s="68">
        <v>32</v>
      </c>
      <c r="I119" s="68">
        <v>32</v>
      </c>
      <c r="J119" s="68">
        <v>32</v>
      </c>
      <c r="K119" s="68">
        <v>32</v>
      </c>
      <c r="L119" s="68">
        <v>32</v>
      </c>
      <c r="N119" s="50"/>
      <c r="AE119" s="70"/>
      <c r="AF119" s="70"/>
      <c r="AG119" s="70"/>
      <c r="AH119" s="70"/>
      <c r="AI119" s="70"/>
      <c r="AJ119" s="70"/>
      <c r="AK119" s="70"/>
    </row>
    <row r="120" spans="2:37" ht="14.1" customHeight="1">
      <c r="B120" s="23"/>
      <c r="C120" s="72">
        <f t="shared" si="1"/>
        <v>0.44691666666666685</v>
      </c>
      <c r="D120" s="16">
        <v>160</v>
      </c>
      <c r="E120" s="68">
        <v>33</v>
      </c>
      <c r="F120" s="68">
        <v>33</v>
      </c>
      <c r="G120" s="68">
        <v>33</v>
      </c>
      <c r="H120" s="68">
        <v>33</v>
      </c>
      <c r="I120" s="68">
        <v>33</v>
      </c>
      <c r="J120" s="68">
        <v>33</v>
      </c>
      <c r="K120" s="68">
        <v>33</v>
      </c>
      <c r="L120" s="68">
        <v>33</v>
      </c>
      <c r="N120" s="50"/>
      <c r="AE120" s="70"/>
      <c r="AF120" s="70"/>
      <c r="AG120" s="70"/>
      <c r="AH120" s="70"/>
      <c r="AI120" s="70"/>
      <c r="AJ120" s="70"/>
      <c r="AK120" s="70"/>
    </row>
    <row r="121" spans="2:37" ht="14.1" customHeight="1">
      <c r="B121" s="23"/>
      <c r="C121" s="72">
        <f t="shared" si="1"/>
        <v>0.45031666666666686</v>
      </c>
      <c r="D121" s="16">
        <v>165</v>
      </c>
      <c r="E121" s="68">
        <v>34</v>
      </c>
      <c r="F121" s="68">
        <v>34</v>
      </c>
      <c r="G121" s="68">
        <v>34</v>
      </c>
      <c r="H121" s="68">
        <v>34</v>
      </c>
      <c r="I121" s="68">
        <v>34</v>
      </c>
      <c r="J121" s="68">
        <v>34</v>
      </c>
      <c r="K121" s="68">
        <v>34</v>
      </c>
      <c r="L121" s="68">
        <v>34</v>
      </c>
      <c r="N121" s="50"/>
      <c r="AE121" s="70"/>
      <c r="AF121" s="70"/>
      <c r="AG121" s="70"/>
      <c r="AH121" s="70"/>
      <c r="AI121" s="70"/>
      <c r="AJ121" s="70"/>
      <c r="AK121" s="70"/>
    </row>
    <row r="122" spans="2:37" ht="14.1" customHeight="1">
      <c r="B122" s="23"/>
      <c r="C122" s="72">
        <f t="shared" si="1"/>
        <v>0.45371666666666688</v>
      </c>
      <c r="D122" s="16">
        <v>170</v>
      </c>
      <c r="E122" s="68">
        <v>35</v>
      </c>
      <c r="F122" s="68">
        <v>35</v>
      </c>
      <c r="G122" s="68">
        <v>35</v>
      </c>
      <c r="H122" s="68">
        <v>35</v>
      </c>
      <c r="I122" s="68">
        <v>35</v>
      </c>
      <c r="J122" s="68">
        <v>35</v>
      </c>
      <c r="K122" s="68">
        <v>35</v>
      </c>
      <c r="L122" s="68">
        <v>35</v>
      </c>
      <c r="N122" s="50"/>
      <c r="AE122" s="70"/>
      <c r="AF122" s="70"/>
      <c r="AG122" s="70"/>
      <c r="AH122" s="70"/>
      <c r="AI122" s="70"/>
      <c r="AJ122" s="70"/>
      <c r="AK122" s="70"/>
    </row>
    <row r="123" spans="2:37" ht="14.1" customHeight="1">
      <c r="B123" s="23"/>
      <c r="C123" s="72">
        <f t="shared" si="1"/>
        <v>0.45711666666666689</v>
      </c>
      <c r="D123" s="16">
        <v>175</v>
      </c>
      <c r="E123" s="68">
        <v>36</v>
      </c>
      <c r="F123" s="68">
        <v>36</v>
      </c>
      <c r="G123" s="68">
        <v>36</v>
      </c>
      <c r="H123" s="68">
        <v>36</v>
      </c>
      <c r="I123" s="68">
        <v>36</v>
      </c>
      <c r="J123" s="68">
        <v>36</v>
      </c>
      <c r="K123" s="68">
        <v>36</v>
      </c>
      <c r="L123" s="68">
        <v>36</v>
      </c>
      <c r="N123" s="50"/>
      <c r="AE123" s="70"/>
      <c r="AF123" s="70"/>
      <c r="AG123" s="70"/>
      <c r="AH123" s="70"/>
      <c r="AI123" s="70"/>
      <c r="AJ123" s="70"/>
      <c r="AK123" s="70"/>
    </row>
    <row r="124" spans="2:37" ht="14.1" customHeight="1">
      <c r="B124" s="23"/>
      <c r="C124" s="72">
        <f t="shared" si="1"/>
        <v>0.46051666666666691</v>
      </c>
      <c r="D124" s="65">
        <v>180</v>
      </c>
      <c r="E124" s="69">
        <v>37</v>
      </c>
      <c r="F124" s="69">
        <v>37</v>
      </c>
      <c r="G124" s="69">
        <v>37</v>
      </c>
      <c r="H124" s="69">
        <v>37</v>
      </c>
      <c r="I124" s="69">
        <v>37</v>
      </c>
      <c r="J124" s="69">
        <v>37</v>
      </c>
      <c r="K124" s="69">
        <v>37</v>
      </c>
      <c r="L124" s="69">
        <v>37</v>
      </c>
      <c r="N124" s="50"/>
      <c r="AE124" s="70"/>
      <c r="AF124" s="70"/>
      <c r="AG124" s="70"/>
      <c r="AH124" s="70"/>
      <c r="AI124" s="70"/>
      <c r="AJ124" s="70"/>
      <c r="AK124" s="70"/>
    </row>
    <row r="125" spans="2:37" ht="14.1" customHeight="1">
      <c r="B125" s="23"/>
      <c r="C125" s="72">
        <f t="shared" si="1"/>
        <v>0.46391666666666692</v>
      </c>
      <c r="D125" s="16">
        <v>185</v>
      </c>
      <c r="E125" s="68">
        <v>38</v>
      </c>
      <c r="F125" s="68">
        <v>38</v>
      </c>
      <c r="G125" s="68">
        <v>38</v>
      </c>
      <c r="H125" s="68">
        <v>38</v>
      </c>
      <c r="I125" s="68">
        <v>38</v>
      </c>
      <c r="J125" s="68">
        <v>38</v>
      </c>
      <c r="K125" s="68">
        <v>38</v>
      </c>
      <c r="L125" s="68">
        <v>38</v>
      </c>
      <c r="N125" s="50"/>
      <c r="AE125" s="70"/>
      <c r="AF125" s="70"/>
      <c r="AG125" s="70"/>
      <c r="AH125" s="70"/>
      <c r="AI125" s="70"/>
      <c r="AJ125" s="70"/>
      <c r="AK125" s="70"/>
    </row>
    <row r="126" spans="2:37" ht="14.1" customHeight="1">
      <c r="B126" s="23"/>
      <c r="C126" s="72">
        <f t="shared" si="1"/>
        <v>0.46731666666666694</v>
      </c>
      <c r="D126" s="16">
        <v>190</v>
      </c>
      <c r="E126" s="68">
        <v>39</v>
      </c>
      <c r="F126" s="68">
        <v>39</v>
      </c>
      <c r="G126" s="68">
        <v>39</v>
      </c>
      <c r="H126" s="68">
        <v>39</v>
      </c>
      <c r="I126" s="68">
        <v>39</v>
      </c>
      <c r="J126" s="68">
        <v>39</v>
      </c>
      <c r="K126" s="68">
        <v>39</v>
      </c>
      <c r="L126" s="68">
        <v>39</v>
      </c>
      <c r="N126" s="50"/>
      <c r="AE126" s="70"/>
      <c r="AF126" s="70"/>
      <c r="AG126" s="70"/>
      <c r="AH126" s="70"/>
      <c r="AI126" s="70"/>
      <c r="AJ126" s="70"/>
      <c r="AK126" s="70"/>
    </row>
    <row r="127" spans="2:37" ht="14.1" customHeight="1">
      <c r="B127" s="23"/>
      <c r="C127" s="72">
        <f t="shared" si="1"/>
        <v>0.47071666666666695</v>
      </c>
      <c r="D127" s="16">
        <v>195</v>
      </c>
      <c r="E127" s="68">
        <v>40</v>
      </c>
      <c r="F127" s="68">
        <v>40</v>
      </c>
      <c r="G127" s="68">
        <v>40</v>
      </c>
      <c r="H127" s="68">
        <v>40</v>
      </c>
      <c r="I127" s="68">
        <v>40</v>
      </c>
      <c r="J127" s="68">
        <v>40</v>
      </c>
      <c r="K127" s="68">
        <v>40</v>
      </c>
      <c r="L127" s="68">
        <v>40</v>
      </c>
      <c r="N127" s="50"/>
      <c r="AE127" s="70"/>
      <c r="AF127" s="70"/>
      <c r="AG127" s="70"/>
      <c r="AH127" s="70"/>
      <c r="AI127" s="70"/>
      <c r="AJ127" s="70"/>
      <c r="AK127" s="70"/>
    </row>
    <row r="128" spans="2:37" ht="14.1" customHeight="1">
      <c r="B128" s="23"/>
      <c r="C128" s="72">
        <f t="shared" si="1"/>
        <v>0.47411666666666696</v>
      </c>
      <c r="D128" s="16">
        <v>200</v>
      </c>
      <c r="E128" s="68">
        <v>41</v>
      </c>
      <c r="F128" s="68">
        <v>41</v>
      </c>
      <c r="G128" s="68">
        <v>41</v>
      </c>
      <c r="H128" s="68">
        <v>41</v>
      </c>
      <c r="I128" s="68">
        <v>41</v>
      </c>
      <c r="J128" s="68">
        <v>41</v>
      </c>
      <c r="K128" s="68">
        <v>41</v>
      </c>
      <c r="L128" s="68">
        <v>41</v>
      </c>
      <c r="N128" s="50"/>
      <c r="AE128" s="70"/>
      <c r="AF128" s="70"/>
      <c r="AG128" s="70"/>
      <c r="AH128" s="70"/>
      <c r="AI128" s="70"/>
      <c r="AJ128" s="70"/>
      <c r="AK128" s="70"/>
    </row>
    <row r="129" spans="2:37" ht="14.1" customHeight="1">
      <c r="B129" s="23"/>
      <c r="C129" s="72">
        <f t="shared" si="1"/>
        <v>0.47751666666666698</v>
      </c>
      <c r="D129" s="16">
        <v>205</v>
      </c>
      <c r="E129" s="68">
        <v>42</v>
      </c>
      <c r="F129" s="68">
        <v>42</v>
      </c>
      <c r="G129" s="68">
        <v>42</v>
      </c>
      <c r="H129" s="68">
        <v>42</v>
      </c>
      <c r="I129" s="68">
        <v>42</v>
      </c>
      <c r="J129" s="68">
        <v>42</v>
      </c>
      <c r="K129" s="68">
        <v>42</v>
      </c>
      <c r="L129" s="68">
        <v>42</v>
      </c>
      <c r="N129" s="50"/>
      <c r="AE129" s="70"/>
      <c r="AF129" s="70"/>
      <c r="AG129" s="70"/>
      <c r="AH129" s="70"/>
      <c r="AI129" s="70"/>
      <c r="AJ129" s="70"/>
      <c r="AK129" s="70"/>
    </row>
    <row r="130" spans="2:37" ht="14.1" customHeight="1">
      <c r="B130" s="23"/>
      <c r="C130" s="72">
        <f t="shared" si="1"/>
        <v>0.48091666666666699</v>
      </c>
      <c r="D130" s="65">
        <v>210</v>
      </c>
      <c r="E130" s="69">
        <v>43</v>
      </c>
      <c r="F130" s="69">
        <v>43</v>
      </c>
      <c r="G130" s="69">
        <v>43</v>
      </c>
      <c r="H130" s="69">
        <v>43</v>
      </c>
      <c r="I130" s="69">
        <v>43</v>
      </c>
      <c r="J130" s="69">
        <v>43</v>
      </c>
      <c r="K130" s="69">
        <v>43</v>
      </c>
      <c r="L130" s="69">
        <v>43</v>
      </c>
      <c r="N130" s="50"/>
      <c r="AE130" s="70"/>
      <c r="AF130" s="70"/>
      <c r="AG130" s="70"/>
      <c r="AH130" s="70"/>
      <c r="AI130" s="70"/>
      <c r="AJ130" s="70"/>
      <c r="AK130" s="70"/>
    </row>
    <row r="131" spans="2:37" ht="14.1" customHeight="1">
      <c r="B131" s="23"/>
      <c r="C131" s="72">
        <f t="shared" si="1"/>
        <v>0.48431666666666701</v>
      </c>
      <c r="D131" s="16">
        <v>215</v>
      </c>
      <c r="E131" s="68">
        <v>44</v>
      </c>
      <c r="F131" s="68">
        <v>44</v>
      </c>
      <c r="G131" s="68">
        <v>44</v>
      </c>
      <c r="H131" s="68">
        <v>44</v>
      </c>
      <c r="I131" s="68">
        <v>44</v>
      </c>
      <c r="J131" s="68">
        <v>44</v>
      </c>
      <c r="K131" s="68">
        <v>44</v>
      </c>
      <c r="L131" s="68">
        <v>44</v>
      </c>
      <c r="N131" s="50"/>
      <c r="AE131" s="70"/>
      <c r="AF131" s="70"/>
      <c r="AG131" s="70"/>
      <c r="AH131" s="70"/>
      <c r="AI131" s="70"/>
      <c r="AJ131" s="70"/>
      <c r="AK131" s="70"/>
    </row>
    <row r="132" spans="2:37" ht="14.1" customHeight="1">
      <c r="B132" s="23"/>
      <c r="C132" s="72">
        <f t="shared" si="1"/>
        <v>0.48771666666666702</v>
      </c>
      <c r="D132" s="16">
        <v>220</v>
      </c>
      <c r="E132" s="68">
        <v>45</v>
      </c>
      <c r="F132" s="68">
        <v>45</v>
      </c>
      <c r="G132" s="68">
        <v>45</v>
      </c>
      <c r="H132" s="68">
        <v>45</v>
      </c>
      <c r="I132" s="68">
        <v>45</v>
      </c>
      <c r="J132" s="68">
        <v>45</v>
      </c>
      <c r="K132" s="68">
        <v>45</v>
      </c>
      <c r="L132" s="68">
        <v>45</v>
      </c>
      <c r="N132" s="50"/>
      <c r="AE132" s="70"/>
      <c r="AF132" s="70"/>
      <c r="AG132" s="70"/>
      <c r="AH132" s="70"/>
      <c r="AI132" s="70"/>
      <c r="AJ132" s="70"/>
      <c r="AK132" s="70"/>
    </row>
    <row r="133" spans="2:37" ht="14.1" customHeight="1">
      <c r="B133" s="23"/>
      <c r="C133" s="72">
        <f t="shared" si="1"/>
        <v>0.49111666666666703</v>
      </c>
      <c r="D133" s="16">
        <v>225</v>
      </c>
      <c r="E133" s="68">
        <v>46</v>
      </c>
      <c r="F133" s="68">
        <v>46</v>
      </c>
      <c r="G133" s="68">
        <v>46</v>
      </c>
      <c r="H133" s="68">
        <v>46</v>
      </c>
      <c r="I133" s="68">
        <v>46</v>
      </c>
      <c r="J133" s="68">
        <v>46</v>
      </c>
      <c r="K133" s="68">
        <v>46</v>
      </c>
      <c r="L133" s="68">
        <v>46</v>
      </c>
      <c r="N133" s="50"/>
      <c r="AE133" s="70"/>
      <c r="AF133" s="70"/>
      <c r="AG133" s="70"/>
      <c r="AH133" s="70"/>
      <c r="AI133" s="70"/>
      <c r="AJ133" s="70"/>
      <c r="AK133" s="70"/>
    </row>
    <row r="134" spans="2:37" ht="14.1" customHeight="1">
      <c r="B134" s="23"/>
      <c r="C134" s="72">
        <f t="shared" si="1"/>
        <v>0.49451666666666705</v>
      </c>
      <c r="D134" s="16">
        <v>230</v>
      </c>
      <c r="E134" s="68">
        <v>47</v>
      </c>
      <c r="F134" s="68">
        <v>47</v>
      </c>
      <c r="G134" s="68">
        <v>47</v>
      </c>
      <c r="H134" s="68">
        <v>47</v>
      </c>
      <c r="I134" s="68">
        <v>47</v>
      </c>
      <c r="J134" s="68">
        <v>47</v>
      </c>
      <c r="K134" s="68">
        <v>47</v>
      </c>
      <c r="L134" s="68">
        <v>47</v>
      </c>
      <c r="N134" s="50"/>
      <c r="AE134" s="70"/>
      <c r="AF134" s="70"/>
      <c r="AG134" s="70"/>
      <c r="AH134" s="70"/>
      <c r="AI134" s="70"/>
      <c r="AJ134" s="70"/>
      <c r="AK134" s="70"/>
    </row>
    <row r="135" spans="2:37" ht="14.1" customHeight="1">
      <c r="B135" s="23"/>
      <c r="C135" s="72">
        <f t="shared" si="1"/>
        <v>0.49791666666666706</v>
      </c>
      <c r="D135" s="16">
        <v>235</v>
      </c>
      <c r="E135" s="68">
        <v>48</v>
      </c>
      <c r="F135" s="68">
        <v>48</v>
      </c>
      <c r="G135" s="68">
        <v>48</v>
      </c>
      <c r="H135" s="68">
        <v>48</v>
      </c>
      <c r="I135" s="68">
        <v>48</v>
      </c>
      <c r="J135" s="68">
        <v>48</v>
      </c>
      <c r="K135" s="68">
        <v>48</v>
      </c>
      <c r="L135" s="68">
        <v>48</v>
      </c>
      <c r="N135" s="50"/>
      <c r="AE135" s="70"/>
      <c r="AF135" s="70"/>
      <c r="AG135" s="70"/>
      <c r="AH135" s="70"/>
      <c r="AI135" s="70"/>
      <c r="AJ135" s="70"/>
      <c r="AK135" s="70"/>
    </row>
    <row r="136" spans="2:37" ht="14.1" customHeight="1">
      <c r="B136" s="23"/>
      <c r="C136" s="72">
        <f t="shared" si="1"/>
        <v>0.50131666666666708</v>
      </c>
      <c r="D136" s="65">
        <v>240</v>
      </c>
      <c r="E136" s="69">
        <v>49</v>
      </c>
      <c r="F136" s="69">
        <v>49</v>
      </c>
      <c r="G136" s="69">
        <v>49</v>
      </c>
      <c r="H136" s="69">
        <v>49</v>
      </c>
      <c r="I136" s="69">
        <v>49</v>
      </c>
      <c r="J136" s="69">
        <v>49</v>
      </c>
      <c r="K136" s="69">
        <v>49</v>
      </c>
      <c r="L136" s="69">
        <v>49</v>
      </c>
      <c r="N136" s="50"/>
      <c r="AE136" s="70"/>
      <c r="AF136" s="70"/>
      <c r="AG136" s="70"/>
      <c r="AH136" s="70"/>
      <c r="AI136" s="70"/>
      <c r="AJ136" s="70"/>
      <c r="AK136" s="70"/>
    </row>
    <row r="137" spans="2:37" ht="14.1" customHeight="1">
      <c r="B137" s="23"/>
      <c r="C137" s="72">
        <f t="shared" si="1"/>
        <v>0.50471666666666704</v>
      </c>
      <c r="D137" s="16">
        <v>245</v>
      </c>
      <c r="E137" s="68">
        <v>50</v>
      </c>
      <c r="F137" s="68">
        <v>50</v>
      </c>
      <c r="G137" s="68">
        <v>50</v>
      </c>
      <c r="H137" s="68">
        <v>50</v>
      </c>
      <c r="I137" s="68">
        <v>50</v>
      </c>
      <c r="J137" s="68">
        <v>50</v>
      </c>
      <c r="K137" s="68">
        <v>50</v>
      </c>
      <c r="L137" s="68">
        <v>50</v>
      </c>
      <c r="N137" s="50"/>
      <c r="AE137" s="70"/>
      <c r="AF137" s="70"/>
      <c r="AG137" s="70"/>
      <c r="AH137" s="70"/>
      <c r="AI137" s="70"/>
      <c r="AJ137" s="70"/>
      <c r="AK137" s="70"/>
    </row>
    <row r="138" spans="2:37" ht="14.1" customHeight="1">
      <c r="B138" s="23"/>
      <c r="C138" s="72">
        <f t="shared" si="1"/>
        <v>0.50811666666666699</v>
      </c>
      <c r="D138" s="16">
        <v>250</v>
      </c>
      <c r="E138" s="68">
        <v>51</v>
      </c>
      <c r="F138" s="68">
        <v>51</v>
      </c>
      <c r="G138" s="68">
        <v>51</v>
      </c>
      <c r="H138" s="68">
        <v>51</v>
      </c>
      <c r="I138" s="68">
        <v>51</v>
      </c>
      <c r="J138" s="68">
        <v>51</v>
      </c>
      <c r="K138" s="68">
        <v>51</v>
      </c>
      <c r="L138" s="68">
        <v>51</v>
      </c>
      <c r="N138" s="50"/>
      <c r="AE138" s="70"/>
      <c r="AF138" s="70"/>
      <c r="AG138" s="70"/>
      <c r="AH138" s="70"/>
      <c r="AI138" s="70"/>
      <c r="AJ138" s="70"/>
      <c r="AK138" s="70"/>
    </row>
    <row r="139" spans="2:37" ht="14.1" customHeight="1">
      <c r="B139" s="23"/>
      <c r="C139" s="72">
        <f t="shared" si="1"/>
        <v>0.51151666666666695</v>
      </c>
      <c r="D139" s="16">
        <v>255</v>
      </c>
      <c r="E139" s="68">
        <v>52</v>
      </c>
      <c r="F139" s="68">
        <v>52</v>
      </c>
      <c r="G139" s="68">
        <v>52</v>
      </c>
      <c r="H139" s="68">
        <v>52</v>
      </c>
      <c r="I139" s="68">
        <v>52</v>
      </c>
      <c r="J139" s="68">
        <v>52</v>
      </c>
      <c r="K139" s="68">
        <v>52</v>
      </c>
      <c r="L139" s="68">
        <v>52</v>
      </c>
      <c r="N139" s="50"/>
      <c r="AE139" s="70"/>
      <c r="AF139" s="70"/>
      <c r="AG139" s="70"/>
      <c r="AH139" s="70"/>
      <c r="AI139" s="70"/>
      <c r="AJ139" s="70"/>
      <c r="AK139" s="70"/>
    </row>
    <row r="140" spans="2:37" ht="14.1" customHeight="1">
      <c r="B140" s="23"/>
      <c r="C140" s="72">
        <f t="shared" si="1"/>
        <v>0.51491666666666691</v>
      </c>
      <c r="D140" s="16">
        <v>260</v>
      </c>
      <c r="E140" s="68">
        <v>53</v>
      </c>
      <c r="F140" s="68">
        <v>53</v>
      </c>
      <c r="G140" s="68">
        <v>53</v>
      </c>
      <c r="H140" s="68">
        <v>53</v>
      </c>
      <c r="I140" s="68">
        <v>53</v>
      </c>
      <c r="J140" s="68">
        <v>53</v>
      </c>
      <c r="K140" s="68">
        <v>53</v>
      </c>
      <c r="L140" s="68">
        <v>53</v>
      </c>
      <c r="N140" s="50"/>
      <c r="AE140" s="70"/>
      <c r="AF140" s="70"/>
      <c r="AG140" s="70"/>
      <c r="AH140" s="70"/>
      <c r="AI140" s="70"/>
      <c r="AJ140" s="70"/>
      <c r="AK140" s="70"/>
    </row>
    <row r="141" spans="2:37" ht="14.1" customHeight="1">
      <c r="B141" s="23"/>
      <c r="C141" s="72">
        <f t="shared" si="1"/>
        <v>0.51831666666666687</v>
      </c>
      <c r="D141" s="16">
        <v>265</v>
      </c>
      <c r="E141" s="68">
        <v>54</v>
      </c>
      <c r="F141" s="68">
        <v>54</v>
      </c>
      <c r="G141" s="68">
        <v>54</v>
      </c>
      <c r="H141" s="68">
        <v>54</v>
      </c>
      <c r="I141" s="68">
        <v>54</v>
      </c>
      <c r="J141" s="68">
        <v>54</v>
      </c>
      <c r="K141" s="68">
        <v>54</v>
      </c>
      <c r="L141" s="68">
        <v>54</v>
      </c>
      <c r="N141" s="50"/>
      <c r="AE141" s="70"/>
      <c r="AF141" s="70"/>
      <c r="AG141" s="70"/>
      <c r="AH141" s="70"/>
      <c r="AI141" s="70"/>
      <c r="AJ141" s="70"/>
      <c r="AK141" s="70"/>
    </row>
    <row r="142" spans="2:37" ht="14.1" customHeight="1">
      <c r="B142" s="23"/>
      <c r="C142" s="72">
        <f t="shared" si="1"/>
        <v>0.52171666666666683</v>
      </c>
      <c r="D142" s="65">
        <v>270</v>
      </c>
      <c r="E142" s="69">
        <v>55</v>
      </c>
      <c r="F142" s="69">
        <v>55</v>
      </c>
      <c r="G142" s="69">
        <v>55</v>
      </c>
      <c r="H142" s="69">
        <v>55</v>
      </c>
      <c r="I142" s="69">
        <v>55</v>
      </c>
      <c r="J142" s="69">
        <v>55</v>
      </c>
      <c r="K142" s="69">
        <v>55</v>
      </c>
      <c r="L142" s="69">
        <v>55</v>
      </c>
      <c r="N142" s="50"/>
      <c r="AE142" s="70"/>
      <c r="AF142" s="70"/>
      <c r="AG142" s="70"/>
      <c r="AH142" s="70"/>
      <c r="AI142" s="70"/>
      <c r="AJ142" s="70"/>
      <c r="AK142" s="70"/>
    </row>
    <row r="143" spans="2:37" ht="14.1" customHeight="1">
      <c r="B143" s="23"/>
      <c r="C143" s="72">
        <f t="shared" si="1"/>
        <v>0.52511666666666679</v>
      </c>
      <c r="D143" s="16">
        <v>275</v>
      </c>
      <c r="E143" s="68">
        <v>56</v>
      </c>
      <c r="F143" s="68">
        <v>56</v>
      </c>
      <c r="G143" s="68">
        <v>56</v>
      </c>
      <c r="H143" s="68">
        <v>56</v>
      </c>
      <c r="I143" s="68">
        <v>56</v>
      </c>
      <c r="J143" s="68">
        <v>56</v>
      </c>
      <c r="K143" s="68">
        <v>56</v>
      </c>
      <c r="L143" s="68">
        <v>56</v>
      </c>
      <c r="N143" s="50"/>
      <c r="AE143" s="70"/>
      <c r="AF143" s="70"/>
      <c r="AG143" s="70"/>
      <c r="AH143" s="70"/>
      <c r="AI143" s="70"/>
      <c r="AJ143" s="70"/>
      <c r="AK143" s="70"/>
    </row>
    <row r="144" spans="2:37" ht="14.1" customHeight="1">
      <c r="B144" s="23"/>
      <c r="C144" s="72">
        <f t="shared" si="1"/>
        <v>0.52851666666666675</v>
      </c>
      <c r="D144" s="16">
        <v>280</v>
      </c>
      <c r="E144" s="68">
        <v>57</v>
      </c>
      <c r="F144" s="68">
        <v>57</v>
      </c>
      <c r="G144" s="68">
        <v>57</v>
      </c>
      <c r="H144" s="68">
        <v>57</v>
      </c>
      <c r="I144" s="68">
        <v>57</v>
      </c>
      <c r="J144" s="68">
        <v>57</v>
      </c>
      <c r="K144" s="68">
        <v>57</v>
      </c>
      <c r="L144" s="68">
        <v>57</v>
      </c>
      <c r="N144" s="50"/>
      <c r="AE144" s="70"/>
      <c r="AF144" s="70"/>
      <c r="AG144" s="70"/>
      <c r="AH144" s="70"/>
      <c r="AI144" s="70"/>
      <c r="AJ144" s="70"/>
      <c r="AK144" s="70"/>
    </row>
    <row r="145" spans="2:37" ht="14.1" customHeight="1">
      <c r="B145" s="23"/>
      <c r="C145" s="72">
        <f t="shared" si="1"/>
        <v>0.5319166666666667</v>
      </c>
      <c r="D145" s="16">
        <v>285</v>
      </c>
      <c r="E145" s="68">
        <v>58</v>
      </c>
      <c r="F145" s="68">
        <v>58</v>
      </c>
      <c r="G145" s="68">
        <v>58</v>
      </c>
      <c r="H145" s="68">
        <v>58</v>
      </c>
      <c r="I145" s="68">
        <v>58</v>
      </c>
      <c r="J145" s="68">
        <v>58</v>
      </c>
      <c r="K145" s="68">
        <v>58</v>
      </c>
      <c r="L145" s="68">
        <v>58</v>
      </c>
      <c r="N145" s="50"/>
      <c r="AE145" s="70"/>
      <c r="AF145" s="70"/>
      <c r="AG145" s="70"/>
      <c r="AH145" s="70"/>
      <c r="AI145" s="70"/>
      <c r="AJ145" s="70"/>
      <c r="AK145" s="70"/>
    </row>
    <row r="146" spans="2:37" ht="14.1" customHeight="1">
      <c r="B146" s="23"/>
      <c r="C146" s="72">
        <f t="shared" si="1"/>
        <v>0.53531666666666666</v>
      </c>
      <c r="D146" s="16">
        <v>290</v>
      </c>
      <c r="E146" s="68">
        <v>59</v>
      </c>
      <c r="F146" s="68">
        <v>59</v>
      </c>
      <c r="G146" s="68">
        <v>59</v>
      </c>
      <c r="H146" s="68">
        <v>59</v>
      </c>
      <c r="I146" s="68">
        <v>59</v>
      </c>
      <c r="J146" s="68">
        <v>59</v>
      </c>
      <c r="K146" s="68">
        <v>59</v>
      </c>
      <c r="L146" s="68">
        <v>59</v>
      </c>
      <c r="N146" s="50"/>
      <c r="AE146" s="70"/>
      <c r="AF146" s="70"/>
      <c r="AG146" s="70"/>
      <c r="AH146" s="70"/>
      <c r="AI146" s="70"/>
      <c r="AJ146" s="70"/>
      <c r="AK146" s="70"/>
    </row>
    <row r="147" spans="2:37" ht="14.1" customHeight="1">
      <c r="B147" s="23"/>
      <c r="C147" s="72">
        <f t="shared" si="1"/>
        <v>0.53871666666666662</v>
      </c>
      <c r="D147" s="16">
        <v>295</v>
      </c>
      <c r="E147" s="68">
        <v>60</v>
      </c>
      <c r="F147" s="68">
        <v>60</v>
      </c>
      <c r="G147" s="68">
        <v>60</v>
      </c>
      <c r="H147" s="68">
        <v>60</v>
      </c>
      <c r="I147" s="68">
        <v>60</v>
      </c>
      <c r="J147" s="68">
        <v>60</v>
      </c>
      <c r="K147" s="68">
        <v>60</v>
      </c>
      <c r="L147" s="68">
        <v>60</v>
      </c>
      <c r="N147" s="50"/>
      <c r="AE147" s="70"/>
      <c r="AF147" s="70"/>
      <c r="AG147" s="70"/>
      <c r="AH147" s="70"/>
      <c r="AI147" s="70"/>
      <c r="AJ147" s="70"/>
      <c r="AK147" s="70"/>
    </row>
    <row r="148" spans="2:37" ht="14.1" customHeight="1">
      <c r="B148" s="23"/>
      <c r="C148" s="72">
        <f t="shared" si="1"/>
        <v>0.54211666666666658</v>
      </c>
      <c r="D148" s="65">
        <v>300</v>
      </c>
      <c r="E148" s="69">
        <v>61</v>
      </c>
      <c r="F148" s="69">
        <v>61</v>
      </c>
      <c r="G148" s="69">
        <v>61</v>
      </c>
      <c r="H148" s="69">
        <v>61</v>
      </c>
      <c r="I148" s="69">
        <v>61</v>
      </c>
      <c r="J148" s="69">
        <v>61</v>
      </c>
      <c r="K148" s="69">
        <v>61</v>
      </c>
      <c r="L148" s="69">
        <v>61</v>
      </c>
      <c r="N148" s="50"/>
      <c r="AE148" s="70"/>
      <c r="AF148" s="70"/>
      <c r="AG148" s="70"/>
      <c r="AH148" s="70"/>
      <c r="AI148" s="70"/>
      <c r="AJ148" s="70"/>
      <c r="AK148" s="70"/>
    </row>
    <row r="149" spans="2:37" ht="14.1" customHeight="1">
      <c r="B149" s="23"/>
      <c r="C149" s="72">
        <f t="shared" si="1"/>
        <v>0.54551666666666654</v>
      </c>
      <c r="D149" s="16">
        <v>305</v>
      </c>
      <c r="E149" s="68">
        <v>62</v>
      </c>
      <c r="F149" s="68">
        <v>62</v>
      </c>
      <c r="G149" s="68">
        <v>62</v>
      </c>
      <c r="H149" s="68">
        <v>62</v>
      </c>
      <c r="I149" s="68">
        <v>62</v>
      </c>
      <c r="J149" s="68">
        <v>62</v>
      </c>
      <c r="K149" s="68">
        <v>62</v>
      </c>
      <c r="L149" s="68">
        <v>62</v>
      </c>
      <c r="N149" s="50"/>
      <c r="AE149" s="70"/>
      <c r="AF149" s="70"/>
      <c r="AG149" s="70"/>
      <c r="AH149" s="70"/>
      <c r="AI149" s="70"/>
      <c r="AJ149" s="70"/>
      <c r="AK149" s="70"/>
    </row>
    <row r="150" spans="2:37" ht="14.1" customHeight="1">
      <c r="B150" s="23"/>
      <c r="C150" s="72">
        <f t="shared" si="1"/>
        <v>0.5489166666666665</v>
      </c>
      <c r="D150" s="16">
        <v>310</v>
      </c>
      <c r="E150" s="68">
        <v>63</v>
      </c>
      <c r="F150" s="68">
        <v>63</v>
      </c>
      <c r="G150" s="68">
        <v>63</v>
      </c>
      <c r="H150" s="68">
        <v>63</v>
      </c>
      <c r="I150" s="68">
        <v>63</v>
      </c>
      <c r="J150" s="68">
        <v>63</v>
      </c>
      <c r="K150" s="68">
        <v>63</v>
      </c>
      <c r="L150" s="68">
        <v>63</v>
      </c>
      <c r="N150" s="50"/>
      <c r="AE150" s="70"/>
      <c r="AF150" s="70"/>
      <c r="AG150" s="70"/>
      <c r="AH150" s="70"/>
      <c r="AI150" s="70"/>
      <c r="AJ150" s="70"/>
      <c r="AK150" s="70"/>
    </row>
    <row r="151" spans="2:37" ht="14.1" customHeight="1">
      <c r="B151" s="23"/>
      <c r="C151" s="72">
        <f t="shared" si="1"/>
        <v>0.55231666666666646</v>
      </c>
      <c r="D151" s="16">
        <v>315</v>
      </c>
      <c r="E151" s="68">
        <v>64</v>
      </c>
      <c r="F151" s="68">
        <v>64</v>
      </c>
      <c r="G151" s="68">
        <v>64</v>
      </c>
      <c r="H151" s="68">
        <v>64</v>
      </c>
      <c r="I151" s="68">
        <v>64</v>
      </c>
      <c r="J151" s="68">
        <v>64</v>
      </c>
      <c r="K151" s="68">
        <v>64</v>
      </c>
      <c r="L151" s="68">
        <v>64</v>
      </c>
      <c r="N151" s="50"/>
      <c r="AE151" s="70"/>
      <c r="AF151" s="70"/>
      <c r="AG151" s="70"/>
      <c r="AH151" s="70"/>
      <c r="AI151" s="70"/>
      <c r="AJ151" s="70"/>
      <c r="AK151" s="70"/>
    </row>
    <row r="152" spans="2:37" ht="14.1" customHeight="1">
      <c r="B152" s="23"/>
      <c r="C152" s="72">
        <f t="shared" si="1"/>
        <v>0.55571666666666641</v>
      </c>
      <c r="D152" s="16">
        <v>320</v>
      </c>
      <c r="E152" s="68">
        <v>65</v>
      </c>
      <c r="F152" s="68">
        <v>65</v>
      </c>
      <c r="G152" s="68">
        <v>65</v>
      </c>
      <c r="H152" s="68">
        <v>65</v>
      </c>
      <c r="I152" s="68">
        <v>65</v>
      </c>
      <c r="J152" s="68">
        <v>65</v>
      </c>
      <c r="K152" s="68">
        <v>65</v>
      </c>
      <c r="L152" s="68">
        <v>65</v>
      </c>
      <c r="N152" s="50"/>
      <c r="AE152" s="70"/>
      <c r="AF152" s="70"/>
      <c r="AG152" s="70"/>
      <c r="AH152" s="70"/>
      <c r="AI152" s="70"/>
      <c r="AJ152" s="70"/>
      <c r="AK152" s="70"/>
    </row>
    <row r="153" spans="2:37" ht="14.1" customHeight="1">
      <c r="B153" s="23"/>
      <c r="C153" s="72">
        <f t="shared" si="1"/>
        <v>0.55911666666666637</v>
      </c>
      <c r="D153" s="16">
        <v>325</v>
      </c>
      <c r="E153" s="68">
        <v>66</v>
      </c>
      <c r="F153" s="68">
        <v>66</v>
      </c>
      <c r="G153" s="68">
        <v>66</v>
      </c>
      <c r="H153" s="68">
        <v>66</v>
      </c>
      <c r="I153" s="68">
        <v>66</v>
      </c>
      <c r="J153" s="68">
        <v>66</v>
      </c>
      <c r="K153" s="68">
        <v>66</v>
      </c>
      <c r="L153" s="68">
        <v>66</v>
      </c>
      <c r="N153" s="50"/>
      <c r="AE153" s="70"/>
      <c r="AF153" s="70"/>
      <c r="AG153" s="70"/>
      <c r="AH153" s="70"/>
      <c r="AI153" s="70"/>
      <c r="AJ153" s="70"/>
      <c r="AK153" s="70"/>
    </row>
    <row r="154" spans="2:37" ht="14.1" customHeight="1">
      <c r="B154" s="23"/>
      <c r="C154" s="72">
        <f t="shared" si="1"/>
        <v>0.56251666666666633</v>
      </c>
      <c r="D154" s="65">
        <v>330</v>
      </c>
      <c r="E154" s="69">
        <v>67</v>
      </c>
      <c r="F154" s="69">
        <v>67</v>
      </c>
      <c r="G154" s="69">
        <v>67</v>
      </c>
      <c r="H154" s="69">
        <v>67</v>
      </c>
      <c r="I154" s="69">
        <v>67</v>
      </c>
      <c r="J154" s="69">
        <v>67</v>
      </c>
      <c r="K154" s="69">
        <v>67</v>
      </c>
      <c r="L154" s="69">
        <v>67</v>
      </c>
      <c r="N154" s="50"/>
      <c r="AE154" s="70"/>
      <c r="AF154" s="70"/>
      <c r="AG154" s="70"/>
      <c r="AH154" s="70"/>
      <c r="AI154" s="70"/>
      <c r="AJ154" s="70"/>
      <c r="AK154" s="70"/>
    </row>
    <row r="155" spans="2:37" ht="14.1" customHeight="1">
      <c r="B155" s="23"/>
      <c r="C155" s="72">
        <f t="shared" si="1"/>
        <v>0.56591666666666629</v>
      </c>
      <c r="D155" s="16">
        <v>335</v>
      </c>
      <c r="E155" s="68">
        <v>68</v>
      </c>
      <c r="F155" s="68">
        <v>68</v>
      </c>
      <c r="G155" s="68">
        <v>68</v>
      </c>
      <c r="H155" s="68">
        <v>68</v>
      </c>
      <c r="I155" s="68">
        <v>68</v>
      </c>
      <c r="J155" s="68">
        <v>68</v>
      </c>
      <c r="K155" s="68">
        <v>68</v>
      </c>
      <c r="L155" s="68">
        <v>68</v>
      </c>
      <c r="N155" s="50"/>
      <c r="AE155" s="70"/>
      <c r="AF155" s="70"/>
      <c r="AG155" s="70"/>
      <c r="AH155" s="70"/>
      <c r="AI155" s="70"/>
      <c r="AJ155" s="70"/>
      <c r="AK155" s="70"/>
    </row>
    <row r="156" spans="2:37" ht="14.1" customHeight="1">
      <c r="B156" s="23"/>
      <c r="C156" s="72">
        <f t="shared" si="1"/>
        <v>0.56931666666666625</v>
      </c>
      <c r="D156" s="16">
        <v>340</v>
      </c>
      <c r="E156" s="68">
        <v>69</v>
      </c>
      <c r="F156" s="68">
        <v>69</v>
      </c>
      <c r="G156" s="68">
        <v>69</v>
      </c>
      <c r="H156" s="68">
        <v>69</v>
      </c>
      <c r="I156" s="68">
        <v>69</v>
      </c>
      <c r="J156" s="68">
        <v>69</v>
      </c>
      <c r="K156" s="68">
        <v>69</v>
      </c>
      <c r="L156" s="68">
        <v>69</v>
      </c>
      <c r="N156" s="50"/>
      <c r="AE156" s="70"/>
      <c r="AF156" s="70"/>
      <c r="AG156" s="70"/>
      <c r="AH156" s="70"/>
      <c r="AI156" s="70"/>
      <c r="AJ156" s="70"/>
      <c r="AK156" s="70"/>
    </row>
    <row r="157" spans="2:37" ht="14.1" customHeight="1">
      <c r="B157" s="23"/>
      <c r="C157" s="72">
        <f t="shared" si="1"/>
        <v>0.57271666666666621</v>
      </c>
      <c r="D157" s="16">
        <v>345</v>
      </c>
      <c r="E157" s="68">
        <v>70</v>
      </c>
      <c r="F157" s="68">
        <v>70</v>
      </c>
      <c r="G157" s="68">
        <v>70</v>
      </c>
      <c r="H157" s="68">
        <v>70</v>
      </c>
      <c r="I157" s="68">
        <v>70</v>
      </c>
      <c r="J157" s="68">
        <v>70</v>
      </c>
      <c r="K157" s="68">
        <v>70</v>
      </c>
      <c r="L157" s="68">
        <v>70</v>
      </c>
      <c r="N157" s="50"/>
      <c r="AE157" s="70"/>
      <c r="AF157" s="70"/>
      <c r="AG157" s="70"/>
      <c r="AH157" s="70"/>
      <c r="AI157" s="70"/>
      <c r="AJ157" s="70"/>
      <c r="AK157" s="70"/>
    </row>
    <row r="158" spans="2:37" ht="14.1" customHeight="1">
      <c r="B158" s="23"/>
      <c r="C158" s="72">
        <f t="shared" si="1"/>
        <v>0.57611666666666617</v>
      </c>
      <c r="D158" s="16">
        <v>350</v>
      </c>
      <c r="E158" s="68">
        <v>71</v>
      </c>
      <c r="F158" s="68">
        <v>71</v>
      </c>
      <c r="G158" s="68">
        <v>71</v>
      </c>
      <c r="H158" s="68">
        <v>71</v>
      </c>
      <c r="I158" s="68">
        <v>71</v>
      </c>
      <c r="J158" s="68">
        <v>71</v>
      </c>
      <c r="K158" s="68">
        <v>71</v>
      </c>
      <c r="L158" s="68">
        <v>71</v>
      </c>
      <c r="N158" s="50"/>
      <c r="AE158" s="70"/>
      <c r="AF158" s="70"/>
      <c r="AG158" s="70"/>
      <c r="AH158" s="70"/>
      <c r="AI158" s="70"/>
      <c r="AJ158" s="70"/>
      <c r="AK158" s="70"/>
    </row>
    <row r="159" spans="2:37" ht="14.1" customHeight="1">
      <c r="B159" s="23"/>
      <c r="C159" s="72">
        <f t="shared" si="1"/>
        <v>0.57951666666666612</v>
      </c>
      <c r="D159" s="16">
        <v>355</v>
      </c>
      <c r="E159" s="68">
        <v>72</v>
      </c>
      <c r="F159" s="68">
        <v>72</v>
      </c>
      <c r="G159" s="68">
        <v>72</v>
      </c>
      <c r="H159" s="68">
        <v>72</v>
      </c>
      <c r="I159" s="68">
        <v>72</v>
      </c>
      <c r="J159" s="68">
        <v>72</v>
      </c>
      <c r="K159" s="68">
        <v>72</v>
      </c>
      <c r="L159" s="68">
        <v>72</v>
      </c>
      <c r="N159" s="50"/>
      <c r="AE159" s="70"/>
      <c r="AF159" s="70"/>
      <c r="AG159" s="70"/>
      <c r="AH159" s="70"/>
      <c r="AI159" s="70"/>
      <c r="AJ159" s="70"/>
      <c r="AK159" s="70"/>
    </row>
    <row r="160" spans="2:37" ht="14.1" customHeight="1">
      <c r="B160" s="23"/>
      <c r="C160" s="72">
        <f t="shared" si="1"/>
        <v>0.58291666666666608</v>
      </c>
      <c r="D160" s="65">
        <v>360</v>
      </c>
      <c r="E160" s="69">
        <v>73</v>
      </c>
      <c r="F160" s="69">
        <v>73</v>
      </c>
      <c r="G160" s="69">
        <v>73</v>
      </c>
      <c r="H160" s="69">
        <v>73</v>
      </c>
      <c r="I160" s="69">
        <v>73</v>
      </c>
      <c r="J160" s="69">
        <v>73</v>
      </c>
      <c r="K160" s="69">
        <v>73</v>
      </c>
      <c r="L160" s="69">
        <v>73</v>
      </c>
      <c r="N160" s="50"/>
      <c r="AE160" s="70"/>
      <c r="AF160" s="70"/>
      <c r="AG160" s="70"/>
      <c r="AH160" s="70"/>
      <c r="AI160" s="70"/>
      <c r="AJ160" s="70"/>
      <c r="AK160" s="70"/>
    </row>
    <row r="161" spans="2:37" ht="14.1" customHeight="1">
      <c r="B161" s="23"/>
      <c r="C161" s="72">
        <f t="shared" si="1"/>
        <v>0.58631666666666604</v>
      </c>
      <c r="D161" s="16">
        <v>365</v>
      </c>
      <c r="E161" s="68">
        <v>74</v>
      </c>
      <c r="F161" s="68">
        <v>74</v>
      </c>
      <c r="G161" s="68">
        <v>74</v>
      </c>
      <c r="H161" s="68">
        <v>74</v>
      </c>
      <c r="I161" s="68">
        <v>74</v>
      </c>
      <c r="J161" s="68">
        <v>74</v>
      </c>
      <c r="K161" s="68">
        <v>74</v>
      </c>
      <c r="L161" s="68">
        <v>74</v>
      </c>
      <c r="N161" s="50"/>
      <c r="AE161" s="70"/>
      <c r="AF161" s="70"/>
      <c r="AG161" s="70"/>
      <c r="AH161" s="70"/>
      <c r="AI161" s="70"/>
      <c r="AJ161" s="70"/>
      <c r="AK161" s="70"/>
    </row>
    <row r="162" spans="2:37" ht="14.1" customHeight="1">
      <c r="B162" s="23"/>
      <c r="C162" s="72">
        <f t="shared" si="1"/>
        <v>0.589716666666666</v>
      </c>
      <c r="D162" s="16">
        <v>370</v>
      </c>
      <c r="E162" s="68">
        <v>75</v>
      </c>
      <c r="F162" s="68">
        <v>75</v>
      </c>
      <c r="G162" s="68">
        <v>75</v>
      </c>
      <c r="H162" s="68">
        <v>75</v>
      </c>
      <c r="I162" s="68">
        <v>75</v>
      </c>
      <c r="J162" s="68">
        <v>75</v>
      </c>
      <c r="K162" s="68">
        <v>75</v>
      </c>
      <c r="L162" s="68">
        <v>75</v>
      </c>
      <c r="N162" s="50"/>
      <c r="AE162" s="70"/>
      <c r="AF162" s="70"/>
      <c r="AG162" s="70"/>
      <c r="AH162" s="70"/>
      <c r="AI162" s="70"/>
      <c r="AJ162" s="70"/>
      <c r="AK162" s="70"/>
    </row>
    <row r="163" spans="2:37" ht="14.1" customHeight="1">
      <c r="B163" s="23"/>
      <c r="C163" s="72">
        <f t="shared" si="1"/>
        <v>0.59311666666666596</v>
      </c>
      <c r="D163" s="16">
        <v>375</v>
      </c>
      <c r="E163" s="68">
        <v>76</v>
      </c>
      <c r="F163" s="68">
        <v>76</v>
      </c>
      <c r="G163" s="68">
        <v>76</v>
      </c>
      <c r="H163" s="68">
        <v>76</v>
      </c>
      <c r="I163" s="68">
        <v>76</v>
      </c>
      <c r="J163" s="68">
        <v>76</v>
      </c>
      <c r="K163" s="68">
        <v>76</v>
      </c>
      <c r="L163" s="68">
        <v>76</v>
      </c>
      <c r="N163" s="50"/>
      <c r="AE163" s="70"/>
      <c r="AF163" s="70"/>
      <c r="AG163" s="70"/>
      <c r="AH163" s="70"/>
      <c r="AI163" s="70"/>
      <c r="AJ163" s="70"/>
      <c r="AK163" s="70"/>
    </row>
    <row r="164" spans="2:37" ht="14.1" customHeight="1">
      <c r="B164" s="23"/>
      <c r="C164" s="72">
        <f t="shared" si="1"/>
        <v>0.59651666666666592</v>
      </c>
      <c r="D164" s="16">
        <v>380</v>
      </c>
      <c r="E164" s="68">
        <v>77</v>
      </c>
      <c r="F164" s="68">
        <v>77</v>
      </c>
      <c r="G164" s="68">
        <v>77</v>
      </c>
      <c r="H164" s="68">
        <v>77</v>
      </c>
      <c r="I164" s="68">
        <v>77</v>
      </c>
      <c r="J164" s="68">
        <v>77</v>
      </c>
      <c r="K164" s="68">
        <v>77</v>
      </c>
      <c r="L164" s="68">
        <v>77</v>
      </c>
      <c r="N164" s="50"/>
      <c r="AE164" s="70"/>
      <c r="AF164" s="70"/>
      <c r="AG164" s="70"/>
      <c r="AH164" s="70"/>
      <c r="AI164" s="70"/>
      <c r="AJ164" s="70"/>
      <c r="AK164" s="70"/>
    </row>
    <row r="165" spans="2:37" ht="14.1" customHeight="1">
      <c r="B165" s="23"/>
      <c r="C165" s="72">
        <f t="shared" si="1"/>
        <v>0.59991666666666588</v>
      </c>
      <c r="D165" s="16">
        <v>385</v>
      </c>
      <c r="E165" s="68">
        <v>78</v>
      </c>
      <c r="F165" s="68">
        <v>78</v>
      </c>
      <c r="G165" s="68">
        <v>78</v>
      </c>
      <c r="H165" s="68">
        <v>78</v>
      </c>
      <c r="I165" s="68">
        <v>78</v>
      </c>
      <c r="J165" s="68">
        <v>78</v>
      </c>
      <c r="K165" s="68">
        <v>78</v>
      </c>
      <c r="L165" s="68">
        <v>78</v>
      </c>
      <c r="N165" s="50"/>
      <c r="AE165" s="70"/>
      <c r="AF165" s="70"/>
      <c r="AG165" s="70"/>
      <c r="AH165" s="70"/>
      <c r="AI165" s="70"/>
      <c r="AJ165" s="70"/>
      <c r="AK165" s="70"/>
    </row>
    <row r="166" spans="2:37" ht="14.1" customHeight="1">
      <c r="B166" s="23"/>
      <c r="C166" s="72">
        <f t="shared" si="1"/>
        <v>0.60331666666666584</v>
      </c>
      <c r="D166" s="65">
        <v>390</v>
      </c>
      <c r="E166" s="69">
        <v>79</v>
      </c>
      <c r="F166" s="69">
        <v>79</v>
      </c>
      <c r="G166" s="69">
        <v>79</v>
      </c>
      <c r="H166" s="69">
        <v>79</v>
      </c>
      <c r="I166" s="69">
        <v>79</v>
      </c>
      <c r="J166" s="69">
        <v>79</v>
      </c>
      <c r="K166" s="69">
        <v>79</v>
      </c>
      <c r="L166" s="69">
        <v>79</v>
      </c>
      <c r="N166" s="50"/>
      <c r="AE166" s="70"/>
      <c r="AF166" s="70"/>
      <c r="AG166" s="70"/>
      <c r="AH166" s="70"/>
      <c r="AI166" s="70"/>
      <c r="AJ166" s="70"/>
      <c r="AK166" s="70"/>
    </row>
    <row r="167" spans="2:37" ht="14.1" customHeight="1">
      <c r="B167" s="23"/>
      <c r="C167" s="72">
        <f t="shared" si="1"/>
        <v>0.60671666666666579</v>
      </c>
      <c r="D167" s="16">
        <v>395</v>
      </c>
      <c r="E167" s="68">
        <v>80</v>
      </c>
      <c r="F167" s="68">
        <v>80</v>
      </c>
      <c r="G167" s="68">
        <v>80</v>
      </c>
      <c r="H167" s="68">
        <v>80</v>
      </c>
      <c r="I167" s="68">
        <v>80</v>
      </c>
      <c r="J167" s="68">
        <v>80</v>
      </c>
      <c r="K167" s="68">
        <v>80</v>
      </c>
      <c r="L167" s="68">
        <v>80</v>
      </c>
      <c r="N167" s="50"/>
      <c r="AE167" s="70"/>
      <c r="AF167" s="70"/>
      <c r="AG167" s="70"/>
      <c r="AH167" s="70"/>
      <c r="AI167" s="70"/>
      <c r="AJ167" s="70"/>
      <c r="AK167" s="70"/>
    </row>
    <row r="168" spans="2:37" ht="14.1" customHeight="1">
      <c r="B168" s="23"/>
      <c r="C168" s="72">
        <f t="shared" si="1"/>
        <v>0.61011666666666575</v>
      </c>
      <c r="D168" s="16">
        <v>400</v>
      </c>
      <c r="E168" s="68">
        <v>81</v>
      </c>
      <c r="F168" s="68">
        <v>81</v>
      </c>
      <c r="G168" s="68">
        <v>81</v>
      </c>
      <c r="H168" s="68">
        <v>81</v>
      </c>
      <c r="I168" s="68">
        <v>81</v>
      </c>
      <c r="J168" s="68">
        <v>81</v>
      </c>
      <c r="K168" s="68">
        <v>81</v>
      </c>
      <c r="L168" s="68">
        <v>81</v>
      </c>
      <c r="N168" s="50"/>
      <c r="AE168" s="70"/>
      <c r="AF168" s="70"/>
      <c r="AG168" s="70"/>
      <c r="AH168" s="70"/>
      <c r="AI168" s="70"/>
      <c r="AJ168" s="70"/>
      <c r="AK168" s="70"/>
    </row>
    <row r="169" spans="2:37" ht="14.1" customHeight="1">
      <c r="B169" s="23"/>
      <c r="C169" s="72">
        <f t="shared" si="1"/>
        <v>0.61351666666666571</v>
      </c>
      <c r="D169" s="16">
        <v>405</v>
      </c>
      <c r="E169" s="68">
        <v>82</v>
      </c>
      <c r="F169" s="68">
        <v>82</v>
      </c>
      <c r="G169" s="68">
        <v>82</v>
      </c>
      <c r="H169" s="68">
        <v>82</v>
      </c>
      <c r="I169" s="68">
        <v>82</v>
      </c>
      <c r="J169" s="68">
        <v>82</v>
      </c>
      <c r="K169" s="68">
        <v>82</v>
      </c>
      <c r="L169" s="68">
        <v>82</v>
      </c>
      <c r="N169" s="50"/>
      <c r="AE169" s="70"/>
      <c r="AF169" s="70"/>
      <c r="AG169" s="70"/>
      <c r="AH169" s="70"/>
      <c r="AI169" s="70"/>
      <c r="AJ169" s="70"/>
      <c r="AK169" s="70"/>
    </row>
    <row r="170" spans="2:37" ht="14.1" customHeight="1">
      <c r="B170" s="23"/>
      <c r="C170" s="72">
        <f t="shared" si="1"/>
        <v>0.61691666666666567</v>
      </c>
      <c r="D170" s="16">
        <v>410</v>
      </c>
      <c r="E170" s="68">
        <v>83</v>
      </c>
      <c r="F170" s="68">
        <v>83</v>
      </c>
      <c r="G170" s="68">
        <v>83</v>
      </c>
      <c r="H170" s="68">
        <v>83</v>
      </c>
      <c r="I170" s="68">
        <v>83</v>
      </c>
      <c r="J170" s="68">
        <v>83</v>
      </c>
      <c r="K170" s="68">
        <v>83</v>
      </c>
      <c r="L170" s="68">
        <v>83</v>
      </c>
      <c r="N170" s="50"/>
      <c r="AE170" s="70"/>
      <c r="AF170" s="70"/>
      <c r="AG170" s="70"/>
      <c r="AH170" s="70"/>
      <c r="AI170" s="70"/>
      <c r="AJ170" s="70"/>
      <c r="AK170" s="70"/>
    </row>
    <row r="171" spans="2:37" ht="14.1" customHeight="1">
      <c r="B171" s="23"/>
      <c r="C171" s="72">
        <f t="shared" si="1"/>
        <v>0.62031666666666563</v>
      </c>
      <c r="D171" s="16">
        <v>415</v>
      </c>
      <c r="E171" s="68">
        <v>84</v>
      </c>
      <c r="F171" s="68">
        <v>84</v>
      </c>
      <c r="G171" s="68">
        <v>84</v>
      </c>
      <c r="H171" s="68">
        <v>84</v>
      </c>
      <c r="I171" s="68">
        <v>84</v>
      </c>
      <c r="J171" s="68">
        <v>84</v>
      </c>
      <c r="K171" s="68">
        <v>84</v>
      </c>
      <c r="L171" s="68">
        <v>84</v>
      </c>
      <c r="N171" s="50"/>
      <c r="AE171" s="70"/>
      <c r="AF171" s="70"/>
      <c r="AG171" s="70"/>
      <c r="AH171" s="70"/>
      <c r="AI171" s="70"/>
      <c r="AJ171" s="70"/>
      <c r="AK171" s="70"/>
    </row>
    <row r="172" spans="2:37" ht="14.1" customHeight="1">
      <c r="B172" s="23"/>
      <c r="C172" s="72">
        <f t="shared" si="1"/>
        <v>0.62371666666666559</v>
      </c>
      <c r="D172" s="65">
        <v>420</v>
      </c>
      <c r="E172" s="69">
        <v>85</v>
      </c>
      <c r="F172" s="69">
        <v>85</v>
      </c>
      <c r="G172" s="69">
        <v>85</v>
      </c>
      <c r="H172" s="69">
        <v>85</v>
      </c>
      <c r="I172" s="69">
        <v>85</v>
      </c>
      <c r="J172" s="69">
        <v>85</v>
      </c>
      <c r="K172" s="69">
        <v>85</v>
      </c>
      <c r="L172" s="69">
        <v>85</v>
      </c>
      <c r="N172" s="50"/>
      <c r="AE172" s="70"/>
      <c r="AF172" s="70"/>
      <c r="AG172" s="70"/>
      <c r="AH172" s="70"/>
      <c r="AI172" s="70"/>
      <c r="AJ172" s="70"/>
      <c r="AK172" s="70"/>
    </row>
    <row r="173" spans="2:37" ht="14.1" customHeight="1">
      <c r="B173" s="23"/>
      <c r="C173" s="72">
        <f t="shared" si="1"/>
        <v>0.62711666666666555</v>
      </c>
      <c r="D173" s="16">
        <v>425</v>
      </c>
      <c r="E173" s="68">
        <v>86</v>
      </c>
      <c r="F173" s="68">
        <v>86</v>
      </c>
      <c r="G173" s="68">
        <v>86</v>
      </c>
      <c r="H173" s="68">
        <v>86</v>
      </c>
      <c r="I173" s="68">
        <v>86</v>
      </c>
      <c r="J173" s="68">
        <v>86</v>
      </c>
      <c r="K173" s="68">
        <v>86</v>
      </c>
      <c r="L173" s="68">
        <v>86</v>
      </c>
      <c r="N173" s="50"/>
      <c r="AE173" s="70"/>
      <c r="AF173" s="70"/>
      <c r="AG173" s="70"/>
      <c r="AH173" s="70"/>
      <c r="AI173" s="70"/>
      <c r="AJ173" s="70"/>
      <c r="AK173" s="70"/>
    </row>
    <row r="174" spans="2:37" ht="14.1" customHeight="1">
      <c r="B174" s="23"/>
      <c r="C174" s="72">
        <f t="shared" si="1"/>
        <v>0.6305166666666655</v>
      </c>
      <c r="D174" s="16">
        <v>430</v>
      </c>
      <c r="E174" s="68">
        <v>87</v>
      </c>
      <c r="F174" s="68">
        <v>87</v>
      </c>
      <c r="G174" s="68">
        <v>87</v>
      </c>
      <c r="H174" s="68">
        <v>87</v>
      </c>
      <c r="I174" s="68">
        <v>87</v>
      </c>
      <c r="J174" s="68">
        <v>87</v>
      </c>
      <c r="K174" s="68">
        <v>87</v>
      </c>
      <c r="L174" s="68">
        <v>87</v>
      </c>
      <c r="N174" s="50"/>
      <c r="AE174" s="70"/>
      <c r="AF174" s="70"/>
      <c r="AG174" s="70"/>
      <c r="AH174" s="70"/>
      <c r="AI174" s="70"/>
      <c r="AJ174" s="70"/>
      <c r="AK174" s="70"/>
    </row>
    <row r="175" spans="2:37" ht="14.1" customHeight="1">
      <c r="B175" s="23"/>
      <c r="C175" s="72">
        <f t="shared" si="1"/>
        <v>0.63391666666666546</v>
      </c>
      <c r="D175" s="16">
        <v>435</v>
      </c>
      <c r="E175" s="68">
        <v>88</v>
      </c>
      <c r="F175" s="68">
        <v>88</v>
      </c>
      <c r="G175" s="68">
        <v>88</v>
      </c>
      <c r="H175" s="68">
        <v>88</v>
      </c>
      <c r="I175" s="68">
        <v>88</v>
      </c>
      <c r="J175" s="68">
        <v>88</v>
      </c>
      <c r="K175" s="68">
        <v>88</v>
      </c>
      <c r="L175" s="68">
        <v>88</v>
      </c>
      <c r="N175" s="50"/>
      <c r="AE175" s="70"/>
      <c r="AF175" s="70"/>
      <c r="AG175" s="70"/>
      <c r="AH175" s="70"/>
      <c r="AI175" s="70"/>
      <c r="AJ175" s="70"/>
      <c r="AK175" s="70"/>
    </row>
    <row r="176" spans="2:37" ht="14.1" customHeight="1">
      <c r="B176" s="23"/>
      <c r="C176" s="72">
        <f t="shared" si="1"/>
        <v>0.63731666666666542</v>
      </c>
      <c r="D176" s="16">
        <v>440</v>
      </c>
      <c r="E176" s="68">
        <v>89</v>
      </c>
      <c r="F176" s="68">
        <v>89</v>
      </c>
      <c r="G176" s="68">
        <v>89</v>
      </c>
      <c r="H176" s="68">
        <v>89</v>
      </c>
      <c r="I176" s="68">
        <v>89</v>
      </c>
      <c r="J176" s="68">
        <v>89</v>
      </c>
      <c r="K176" s="68">
        <v>89</v>
      </c>
      <c r="L176" s="68">
        <v>89</v>
      </c>
      <c r="N176" s="50"/>
      <c r="AE176" s="70"/>
      <c r="AF176" s="70"/>
      <c r="AG176" s="70"/>
      <c r="AH176" s="70"/>
      <c r="AI176" s="70"/>
      <c r="AJ176" s="70"/>
      <c r="AK176" s="70"/>
    </row>
    <row r="177" spans="2:37" ht="14.1" customHeight="1">
      <c r="B177" s="23"/>
      <c r="C177" s="72">
        <f t="shared" si="1"/>
        <v>0.64071666666666538</v>
      </c>
      <c r="D177" s="16">
        <v>445</v>
      </c>
      <c r="E177" s="68">
        <v>90</v>
      </c>
      <c r="F177" s="68">
        <v>90</v>
      </c>
      <c r="G177" s="68">
        <v>90</v>
      </c>
      <c r="H177" s="68">
        <v>90</v>
      </c>
      <c r="I177" s="68">
        <v>90</v>
      </c>
      <c r="J177" s="68">
        <v>90</v>
      </c>
      <c r="K177" s="68">
        <v>90</v>
      </c>
      <c r="L177" s="68">
        <v>90</v>
      </c>
      <c r="N177" s="50"/>
      <c r="AE177" s="70"/>
      <c r="AF177" s="70"/>
      <c r="AG177" s="70"/>
      <c r="AH177" s="70"/>
      <c r="AI177" s="70"/>
      <c r="AJ177" s="70"/>
      <c r="AK177" s="70"/>
    </row>
    <row r="178" spans="2:37" ht="14.1" customHeight="1">
      <c r="B178" s="23"/>
      <c r="C178" s="72">
        <f t="shared" si="1"/>
        <v>0.64411666666666534</v>
      </c>
      <c r="D178" s="65">
        <v>450</v>
      </c>
      <c r="E178" s="69">
        <v>91</v>
      </c>
      <c r="F178" s="69">
        <v>91</v>
      </c>
      <c r="G178" s="69">
        <v>91</v>
      </c>
      <c r="H178" s="69">
        <v>91</v>
      </c>
      <c r="I178" s="69">
        <v>91</v>
      </c>
      <c r="J178" s="69">
        <v>91</v>
      </c>
      <c r="K178" s="69">
        <v>91</v>
      </c>
      <c r="L178" s="69">
        <v>91</v>
      </c>
      <c r="N178" s="50"/>
      <c r="AE178" s="70"/>
      <c r="AF178" s="70"/>
      <c r="AG178" s="70"/>
      <c r="AH178" s="70"/>
      <c r="AI178" s="70"/>
      <c r="AJ178" s="70"/>
      <c r="AK178" s="70"/>
    </row>
    <row r="179" spans="2:37" ht="14.1" customHeight="1">
      <c r="B179" s="23"/>
      <c r="C179" s="72">
        <f t="shared" si="1"/>
        <v>0.6475166666666653</v>
      </c>
      <c r="D179" s="16">
        <v>455</v>
      </c>
      <c r="E179" s="68">
        <v>92</v>
      </c>
      <c r="F179" s="68">
        <v>92</v>
      </c>
      <c r="G179" s="68">
        <v>92</v>
      </c>
      <c r="H179" s="68">
        <v>92</v>
      </c>
      <c r="I179" s="68">
        <v>92</v>
      </c>
      <c r="J179" s="68">
        <v>92</v>
      </c>
      <c r="K179" s="68">
        <v>92</v>
      </c>
      <c r="L179" s="68">
        <v>92</v>
      </c>
      <c r="N179" s="50"/>
      <c r="AE179" s="70"/>
      <c r="AF179" s="70"/>
      <c r="AG179" s="70"/>
      <c r="AH179" s="70"/>
      <c r="AI179" s="70"/>
      <c r="AJ179" s="70"/>
      <c r="AK179" s="70"/>
    </row>
    <row r="180" spans="2:37" ht="14.1" customHeight="1">
      <c r="B180" s="23"/>
      <c r="C180" s="72">
        <f t="shared" si="1"/>
        <v>0.65091666666666526</v>
      </c>
      <c r="D180" s="16">
        <v>460</v>
      </c>
      <c r="E180" s="68">
        <v>93</v>
      </c>
      <c r="F180" s="68">
        <v>93</v>
      </c>
      <c r="G180" s="68">
        <v>93</v>
      </c>
      <c r="H180" s="68">
        <v>93</v>
      </c>
      <c r="I180" s="68">
        <v>93</v>
      </c>
      <c r="J180" s="68">
        <v>93</v>
      </c>
      <c r="K180" s="68">
        <v>93</v>
      </c>
      <c r="L180" s="68">
        <v>93</v>
      </c>
      <c r="N180" s="50"/>
      <c r="AE180" s="70"/>
      <c r="AF180" s="70"/>
      <c r="AG180" s="70"/>
      <c r="AH180" s="70"/>
      <c r="AI180" s="70"/>
      <c r="AJ180" s="70"/>
      <c r="AK180" s="70"/>
    </row>
    <row r="181" spans="2:37" ht="14.1" customHeight="1">
      <c r="B181" s="23"/>
      <c r="C181" s="72">
        <f t="shared" si="1"/>
        <v>0.65431666666666521</v>
      </c>
      <c r="D181" s="16">
        <v>465</v>
      </c>
      <c r="E181" s="68">
        <v>94</v>
      </c>
      <c r="F181" s="68">
        <v>94</v>
      </c>
      <c r="G181" s="68">
        <v>94</v>
      </c>
      <c r="H181" s="68">
        <v>94</v>
      </c>
      <c r="I181" s="68">
        <v>94</v>
      </c>
      <c r="J181" s="68">
        <v>94</v>
      </c>
      <c r="K181" s="68">
        <v>94</v>
      </c>
      <c r="L181" s="68">
        <v>94</v>
      </c>
      <c r="N181" s="50"/>
      <c r="AE181" s="70"/>
      <c r="AF181" s="70"/>
      <c r="AG181" s="70"/>
      <c r="AH181" s="70"/>
      <c r="AI181" s="70"/>
      <c r="AJ181" s="70"/>
      <c r="AK181" s="70"/>
    </row>
    <row r="182" spans="2:37" ht="14.1" customHeight="1">
      <c r="B182" s="23"/>
      <c r="C182" s="72">
        <f t="shared" ref="C182:C208" si="2">C181+0.0034</f>
        <v>0.65771666666666517</v>
      </c>
      <c r="D182" s="16">
        <v>470</v>
      </c>
      <c r="E182" s="68">
        <v>95</v>
      </c>
      <c r="F182" s="68">
        <v>95</v>
      </c>
      <c r="G182" s="68">
        <v>95</v>
      </c>
      <c r="H182" s="68">
        <v>95</v>
      </c>
      <c r="I182" s="68">
        <v>95</v>
      </c>
      <c r="J182" s="68">
        <v>95</v>
      </c>
      <c r="K182" s="68">
        <v>95</v>
      </c>
      <c r="L182" s="68">
        <v>95</v>
      </c>
      <c r="N182" s="50"/>
      <c r="AE182" s="70"/>
      <c r="AF182" s="70"/>
      <c r="AG182" s="70"/>
      <c r="AH182" s="70"/>
      <c r="AI182" s="70"/>
      <c r="AJ182" s="70"/>
      <c r="AK182" s="70"/>
    </row>
    <row r="183" spans="2:37" ht="14.1" customHeight="1">
      <c r="B183" s="23"/>
      <c r="C183" s="72">
        <f t="shared" si="2"/>
        <v>0.66111666666666513</v>
      </c>
      <c r="D183" s="16">
        <v>475</v>
      </c>
      <c r="E183" s="68">
        <v>96</v>
      </c>
      <c r="F183" s="68">
        <v>96</v>
      </c>
      <c r="G183" s="68">
        <v>96</v>
      </c>
      <c r="H183" s="68">
        <v>96</v>
      </c>
      <c r="I183" s="68">
        <v>96</v>
      </c>
      <c r="J183" s="68">
        <v>96</v>
      </c>
      <c r="K183" s="68">
        <v>96</v>
      </c>
      <c r="L183" s="68">
        <v>96</v>
      </c>
      <c r="N183" s="50"/>
      <c r="AE183" s="70"/>
      <c r="AF183" s="70"/>
      <c r="AG183" s="70"/>
      <c r="AH183" s="70"/>
      <c r="AI183" s="70"/>
      <c r="AJ183" s="70"/>
      <c r="AK183" s="70"/>
    </row>
    <row r="184" spans="2:37" ht="14.1" customHeight="1">
      <c r="B184" s="23"/>
      <c r="C184" s="72">
        <f t="shared" si="2"/>
        <v>0.66451666666666509</v>
      </c>
      <c r="D184" s="65">
        <v>480</v>
      </c>
      <c r="E184" s="69">
        <v>97</v>
      </c>
      <c r="F184" s="69">
        <v>97</v>
      </c>
      <c r="G184" s="69">
        <v>97</v>
      </c>
      <c r="H184" s="69">
        <v>97</v>
      </c>
      <c r="I184" s="69">
        <v>97</v>
      </c>
      <c r="J184" s="69">
        <v>97</v>
      </c>
      <c r="K184" s="69">
        <v>97</v>
      </c>
      <c r="L184" s="69">
        <v>97</v>
      </c>
      <c r="N184" s="50"/>
      <c r="AE184" s="70"/>
      <c r="AF184" s="70"/>
      <c r="AG184" s="70"/>
      <c r="AH184" s="70"/>
      <c r="AI184" s="70"/>
      <c r="AJ184" s="70"/>
      <c r="AK184" s="70"/>
    </row>
    <row r="185" spans="2:37" ht="14.1" customHeight="1">
      <c r="B185" s="23"/>
      <c r="C185" s="72">
        <f t="shared" si="2"/>
        <v>0.66791666666666505</v>
      </c>
      <c r="D185" s="16">
        <v>485</v>
      </c>
      <c r="E185" s="68">
        <v>98</v>
      </c>
      <c r="F185" s="68">
        <v>98</v>
      </c>
      <c r="G185" s="68">
        <v>98</v>
      </c>
      <c r="H185" s="68">
        <v>98</v>
      </c>
      <c r="I185" s="68">
        <v>98</v>
      </c>
      <c r="J185" s="68">
        <v>98</v>
      </c>
      <c r="K185" s="68">
        <v>98</v>
      </c>
      <c r="L185" s="68">
        <v>98</v>
      </c>
      <c r="N185" s="50"/>
      <c r="AE185" s="70"/>
      <c r="AF185" s="70"/>
      <c r="AG185" s="70"/>
      <c r="AH185" s="70"/>
      <c r="AI185" s="70"/>
      <c r="AJ185" s="70"/>
      <c r="AK185" s="70"/>
    </row>
    <row r="186" spans="2:37" ht="14.1" customHeight="1">
      <c r="B186" s="23"/>
      <c r="C186" s="72">
        <f t="shared" si="2"/>
        <v>0.67131666666666501</v>
      </c>
      <c r="D186" s="16">
        <v>490</v>
      </c>
      <c r="E186" s="68">
        <v>99</v>
      </c>
      <c r="F186" s="68">
        <v>99</v>
      </c>
      <c r="G186" s="68">
        <v>99</v>
      </c>
      <c r="H186" s="68">
        <v>99</v>
      </c>
      <c r="I186" s="68">
        <v>99</v>
      </c>
      <c r="J186" s="68">
        <v>99</v>
      </c>
      <c r="K186" s="68">
        <v>99</v>
      </c>
      <c r="L186" s="68">
        <v>99</v>
      </c>
      <c r="N186" s="50"/>
      <c r="AE186" s="70"/>
      <c r="AF186" s="70"/>
      <c r="AG186" s="70"/>
      <c r="AH186" s="70"/>
      <c r="AI186" s="70"/>
      <c r="AJ186" s="70"/>
      <c r="AK186" s="70"/>
    </row>
    <row r="187" spans="2:37" ht="14.1" customHeight="1">
      <c r="B187" s="23"/>
      <c r="C187" s="72">
        <f t="shared" si="2"/>
        <v>0.67471666666666497</v>
      </c>
      <c r="D187" s="16">
        <v>495</v>
      </c>
      <c r="E187" s="68">
        <v>100</v>
      </c>
      <c r="F187" s="68">
        <v>100</v>
      </c>
      <c r="G187" s="68">
        <v>100</v>
      </c>
      <c r="H187" s="68">
        <v>100</v>
      </c>
      <c r="I187" s="68">
        <v>100</v>
      </c>
      <c r="J187" s="68">
        <v>100</v>
      </c>
      <c r="K187" s="68">
        <v>100</v>
      </c>
      <c r="L187" s="68">
        <v>100</v>
      </c>
      <c r="N187" s="50"/>
      <c r="AE187" s="70"/>
      <c r="AF187" s="70"/>
      <c r="AG187" s="70"/>
      <c r="AH187" s="70"/>
      <c r="AI187" s="70"/>
      <c r="AJ187" s="70"/>
      <c r="AK187" s="70"/>
    </row>
    <row r="188" spans="2:37" ht="14.1" customHeight="1">
      <c r="B188" s="23"/>
      <c r="C188" s="72">
        <f t="shared" si="2"/>
        <v>0.67811666666666492</v>
      </c>
      <c r="D188" s="16">
        <v>500</v>
      </c>
      <c r="E188" s="68">
        <v>101</v>
      </c>
      <c r="F188" s="68">
        <v>101</v>
      </c>
      <c r="G188" s="68">
        <v>101</v>
      </c>
      <c r="H188" s="68">
        <v>101</v>
      </c>
      <c r="I188" s="68">
        <v>101</v>
      </c>
      <c r="J188" s="68">
        <v>101</v>
      </c>
      <c r="K188" s="68">
        <v>101</v>
      </c>
      <c r="L188" s="68">
        <v>101</v>
      </c>
      <c r="N188" s="50"/>
      <c r="AE188" s="70"/>
      <c r="AF188" s="70"/>
      <c r="AG188" s="70"/>
      <c r="AH188" s="70"/>
      <c r="AI188" s="70"/>
      <c r="AJ188" s="70"/>
      <c r="AK188" s="70"/>
    </row>
    <row r="189" spans="2:37" ht="14.1" customHeight="1">
      <c r="B189" s="23"/>
      <c r="C189" s="72">
        <f t="shared" si="2"/>
        <v>0.68151666666666488</v>
      </c>
      <c r="D189" s="16">
        <v>505</v>
      </c>
      <c r="E189" s="68">
        <v>102</v>
      </c>
      <c r="F189" s="68">
        <v>102</v>
      </c>
      <c r="G189" s="68">
        <v>102</v>
      </c>
      <c r="H189" s="68">
        <v>102</v>
      </c>
      <c r="I189" s="68">
        <v>102</v>
      </c>
      <c r="J189" s="68">
        <v>102</v>
      </c>
      <c r="K189" s="68">
        <v>102</v>
      </c>
      <c r="L189" s="68">
        <v>102</v>
      </c>
      <c r="N189" s="50"/>
      <c r="AE189" s="70"/>
      <c r="AF189" s="70"/>
      <c r="AG189" s="70"/>
      <c r="AH189" s="70"/>
      <c r="AI189" s="70"/>
      <c r="AJ189" s="70"/>
      <c r="AK189" s="70"/>
    </row>
    <row r="190" spans="2:37" ht="14.1" customHeight="1">
      <c r="B190" s="23"/>
      <c r="C190" s="72">
        <f t="shared" si="2"/>
        <v>0.68491666666666484</v>
      </c>
      <c r="D190" s="65">
        <v>510</v>
      </c>
      <c r="E190" s="69">
        <v>103</v>
      </c>
      <c r="F190" s="69">
        <v>103</v>
      </c>
      <c r="G190" s="69">
        <v>103</v>
      </c>
      <c r="H190" s="69">
        <v>103</v>
      </c>
      <c r="I190" s="69">
        <v>103</v>
      </c>
      <c r="J190" s="69">
        <v>103</v>
      </c>
      <c r="K190" s="69">
        <v>103</v>
      </c>
      <c r="L190" s="69">
        <v>103</v>
      </c>
      <c r="N190" s="50"/>
      <c r="AE190" s="70"/>
      <c r="AF190" s="70"/>
      <c r="AG190" s="70"/>
      <c r="AH190" s="70"/>
      <c r="AI190" s="70"/>
      <c r="AJ190" s="70"/>
      <c r="AK190" s="70"/>
    </row>
    <row r="191" spans="2:37" ht="14.1" customHeight="1">
      <c r="B191" s="23"/>
      <c r="C191" s="72">
        <f t="shared" si="2"/>
        <v>0.6883166666666648</v>
      </c>
      <c r="D191" s="16">
        <v>515</v>
      </c>
      <c r="E191" s="68">
        <v>104</v>
      </c>
      <c r="F191" s="68">
        <v>104</v>
      </c>
      <c r="G191" s="68">
        <v>104</v>
      </c>
      <c r="H191" s="68">
        <v>104</v>
      </c>
      <c r="I191" s="68">
        <v>104</v>
      </c>
      <c r="J191" s="68">
        <v>104</v>
      </c>
      <c r="K191" s="68">
        <v>104</v>
      </c>
      <c r="L191" s="68">
        <v>104</v>
      </c>
      <c r="N191" s="50"/>
      <c r="AE191" s="70"/>
      <c r="AF191" s="70"/>
      <c r="AG191" s="70"/>
      <c r="AH191" s="70"/>
      <c r="AI191" s="70"/>
      <c r="AJ191" s="70"/>
      <c r="AK191" s="70"/>
    </row>
    <row r="192" spans="2:37" ht="14.1" customHeight="1">
      <c r="B192" s="23"/>
      <c r="C192" s="72">
        <f t="shared" si="2"/>
        <v>0.69171666666666476</v>
      </c>
      <c r="D192" s="16">
        <v>520</v>
      </c>
      <c r="E192" s="68">
        <v>105</v>
      </c>
      <c r="F192" s="68">
        <v>105</v>
      </c>
      <c r="G192" s="68">
        <v>105</v>
      </c>
      <c r="H192" s="68">
        <v>105</v>
      </c>
      <c r="I192" s="68">
        <v>105</v>
      </c>
      <c r="J192" s="68">
        <v>105</v>
      </c>
      <c r="K192" s="68">
        <v>105</v>
      </c>
      <c r="L192" s="68">
        <v>105</v>
      </c>
      <c r="N192" s="50"/>
      <c r="AE192" s="70"/>
      <c r="AF192" s="70"/>
      <c r="AG192" s="70"/>
      <c r="AH192" s="70"/>
      <c r="AI192" s="70"/>
      <c r="AJ192" s="70"/>
      <c r="AK192" s="70"/>
    </row>
    <row r="193" spans="2:37" ht="14.1" customHeight="1">
      <c r="B193" s="23"/>
      <c r="C193" s="72">
        <f t="shared" si="2"/>
        <v>0.69511666666666472</v>
      </c>
      <c r="D193" s="16">
        <v>525</v>
      </c>
      <c r="E193" s="68">
        <v>106</v>
      </c>
      <c r="F193" s="68">
        <v>106</v>
      </c>
      <c r="G193" s="68">
        <v>106</v>
      </c>
      <c r="H193" s="68">
        <v>106</v>
      </c>
      <c r="I193" s="68">
        <v>106</v>
      </c>
      <c r="J193" s="68">
        <v>106</v>
      </c>
      <c r="K193" s="68">
        <v>106</v>
      </c>
      <c r="L193" s="68">
        <v>106</v>
      </c>
      <c r="N193" s="50"/>
      <c r="AE193" s="70"/>
      <c r="AF193" s="70"/>
      <c r="AG193" s="70"/>
      <c r="AH193" s="70"/>
      <c r="AI193" s="70"/>
      <c r="AJ193" s="70"/>
      <c r="AK193" s="70"/>
    </row>
    <row r="194" spans="2:37" ht="14.1" customHeight="1">
      <c r="B194" s="23"/>
      <c r="C194" s="72">
        <f t="shared" si="2"/>
        <v>0.69851666666666468</v>
      </c>
      <c r="D194" s="16">
        <v>530</v>
      </c>
      <c r="E194" s="68">
        <v>107</v>
      </c>
      <c r="F194" s="68">
        <v>107</v>
      </c>
      <c r="G194" s="68">
        <v>107</v>
      </c>
      <c r="H194" s="68">
        <v>107</v>
      </c>
      <c r="I194" s="68">
        <v>107</v>
      </c>
      <c r="J194" s="68">
        <v>107</v>
      </c>
      <c r="K194" s="68">
        <v>107</v>
      </c>
      <c r="L194" s="68">
        <v>107</v>
      </c>
      <c r="N194" s="50"/>
      <c r="AE194" s="70"/>
      <c r="AF194" s="70"/>
      <c r="AG194" s="70"/>
      <c r="AH194" s="70"/>
      <c r="AI194" s="70"/>
      <c r="AJ194" s="70"/>
      <c r="AK194" s="70"/>
    </row>
    <row r="195" spans="2:37" ht="14.1" customHeight="1">
      <c r="B195" s="23"/>
      <c r="C195" s="72">
        <f t="shared" si="2"/>
        <v>0.70191666666666463</v>
      </c>
      <c r="D195" s="16">
        <v>535</v>
      </c>
      <c r="E195" s="68">
        <v>108</v>
      </c>
      <c r="F195" s="68">
        <v>108</v>
      </c>
      <c r="G195" s="68">
        <v>108</v>
      </c>
      <c r="H195" s="68">
        <v>108</v>
      </c>
      <c r="I195" s="68">
        <v>108</v>
      </c>
      <c r="J195" s="68">
        <v>108</v>
      </c>
      <c r="K195" s="68">
        <v>108</v>
      </c>
      <c r="L195" s="68">
        <v>108</v>
      </c>
      <c r="N195" s="50"/>
      <c r="AE195" s="70"/>
      <c r="AF195" s="70"/>
      <c r="AG195" s="70"/>
      <c r="AH195" s="70"/>
      <c r="AI195" s="70"/>
      <c r="AJ195" s="70"/>
      <c r="AK195" s="70"/>
    </row>
    <row r="196" spans="2:37" ht="14.1" customHeight="1">
      <c r="B196" s="23"/>
      <c r="C196" s="72">
        <f t="shared" si="2"/>
        <v>0.70531666666666459</v>
      </c>
      <c r="D196" s="71">
        <v>540</v>
      </c>
      <c r="E196" s="69">
        <v>109</v>
      </c>
      <c r="F196" s="69">
        <v>109</v>
      </c>
      <c r="G196" s="69">
        <v>109</v>
      </c>
      <c r="H196" s="69">
        <v>109</v>
      </c>
      <c r="I196" s="69">
        <v>109</v>
      </c>
      <c r="J196" s="69">
        <v>109</v>
      </c>
      <c r="K196" s="69">
        <v>109</v>
      </c>
      <c r="L196" s="69">
        <v>109</v>
      </c>
      <c r="N196" s="50"/>
      <c r="AE196" s="70"/>
      <c r="AF196" s="70"/>
      <c r="AG196" s="70"/>
      <c r="AH196" s="70"/>
      <c r="AI196" s="70"/>
      <c r="AJ196" s="70"/>
      <c r="AK196" s="70"/>
    </row>
    <row r="197" spans="2:37" ht="14.1" customHeight="1">
      <c r="B197" s="23"/>
      <c r="C197" s="72">
        <f t="shared" si="2"/>
        <v>0.70871666666666455</v>
      </c>
      <c r="D197" s="16">
        <v>545</v>
      </c>
      <c r="E197" s="68">
        <v>110</v>
      </c>
      <c r="F197" s="68">
        <v>110</v>
      </c>
      <c r="G197" s="68">
        <v>110</v>
      </c>
      <c r="H197" s="68">
        <v>110</v>
      </c>
      <c r="I197" s="68">
        <v>110</v>
      </c>
      <c r="J197" s="68">
        <v>110</v>
      </c>
      <c r="K197" s="68">
        <v>110</v>
      </c>
      <c r="L197" s="68">
        <v>110</v>
      </c>
      <c r="N197" s="50"/>
      <c r="Q197" s="66"/>
      <c r="W197" s="67"/>
      <c r="X197" s="67"/>
      <c r="Y197" s="67"/>
      <c r="AB197" s="70"/>
      <c r="AC197" s="70"/>
      <c r="AD197" s="70"/>
      <c r="AE197" s="70"/>
      <c r="AF197" s="70"/>
      <c r="AG197" s="70"/>
      <c r="AH197" s="70"/>
      <c r="AI197" s="70"/>
      <c r="AJ197" s="70"/>
      <c r="AK197" s="70"/>
    </row>
    <row r="198" spans="2:37" ht="14.1" customHeight="1">
      <c r="B198" s="23"/>
      <c r="C198" s="72">
        <f t="shared" si="2"/>
        <v>0.71211666666666451</v>
      </c>
      <c r="D198" s="16">
        <v>550</v>
      </c>
      <c r="E198" s="68">
        <v>111</v>
      </c>
      <c r="F198" s="68">
        <v>111</v>
      </c>
      <c r="G198" s="68">
        <v>111</v>
      </c>
      <c r="H198" s="68">
        <v>111</v>
      </c>
      <c r="I198" s="68">
        <v>111</v>
      </c>
      <c r="J198" s="68">
        <v>111</v>
      </c>
      <c r="K198" s="68">
        <v>111</v>
      </c>
      <c r="L198" s="68">
        <v>111</v>
      </c>
      <c r="N198" s="50"/>
      <c r="Q198" s="66"/>
      <c r="W198" s="67"/>
      <c r="X198" s="67"/>
      <c r="Y198" s="67"/>
      <c r="AB198" s="70"/>
      <c r="AC198" s="70"/>
      <c r="AD198" s="70"/>
      <c r="AE198" s="70"/>
      <c r="AF198" s="70"/>
      <c r="AG198" s="70"/>
      <c r="AH198" s="70"/>
      <c r="AI198" s="70"/>
      <c r="AJ198" s="70"/>
      <c r="AK198" s="70"/>
    </row>
    <row r="199" spans="2:37" ht="14.1" customHeight="1">
      <c r="B199" s="23"/>
      <c r="C199" s="72">
        <f t="shared" si="2"/>
        <v>0.71551666666666447</v>
      </c>
      <c r="D199" s="16">
        <v>555</v>
      </c>
      <c r="E199" s="68">
        <v>112</v>
      </c>
      <c r="F199" s="68">
        <v>112</v>
      </c>
      <c r="G199" s="68">
        <v>112</v>
      </c>
      <c r="H199" s="68">
        <v>112</v>
      </c>
      <c r="I199" s="68">
        <v>112</v>
      </c>
      <c r="J199" s="68">
        <v>112</v>
      </c>
      <c r="K199" s="68">
        <v>112</v>
      </c>
      <c r="L199" s="68">
        <v>112</v>
      </c>
      <c r="N199" s="50"/>
      <c r="Q199" s="66"/>
      <c r="W199" s="67"/>
      <c r="X199" s="67"/>
      <c r="Y199" s="67"/>
      <c r="AB199" s="70"/>
      <c r="AC199" s="70"/>
      <c r="AD199" s="70"/>
      <c r="AE199" s="70"/>
      <c r="AF199" s="70"/>
      <c r="AG199" s="70"/>
      <c r="AH199" s="70"/>
      <c r="AI199" s="70"/>
      <c r="AJ199" s="70"/>
      <c r="AK199" s="70"/>
    </row>
    <row r="200" spans="2:37" ht="14.1" customHeight="1">
      <c r="B200" s="23"/>
      <c r="C200" s="72">
        <f t="shared" si="2"/>
        <v>0.71891666666666443</v>
      </c>
      <c r="D200" s="16">
        <v>560</v>
      </c>
      <c r="E200" s="68">
        <v>113</v>
      </c>
      <c r="F200" s="68">
        <v>113</v>
      </c>
      <c r="G200" s="68">
        <v>113</v>
      </c>
      <c r="H200" s="68">
        <v>113</v>
      </c>
      <c r="I200" s="68">
        <v>113</v>
      </c>
      <c r="J200" s="68">
        <v>113</v>
      </c>
      <c r="K200" s="68">
        <v>113</v>
      </c>
      <c r="L200" s="68">
        <v>113</v>
      </c>
      <c r="N200" s="50"/>
      <c r="Q200" s="66"/>
      <c r="W200" s="67"/>
      <c r="X200" s="67"/>
      <c r="Y200" s="67"/>
      <c r="AB200" s="70"/>
      <c r="AC200" s="70"/>
      <c r="AD200" s="70"/>
      <c r="AE200" s="70"/>
      <c r="AF200" s="70"/>
      <c r="AG200" s="70"/>
      <c r="AH200" s="70"/>
      <c r="AI200" s="70"/>
      <c r="AJ200" s="70"/>
      <c r="AK200" s="70"/>
    </row>
    <row r="201" spans="2:37" ht="14.1" customHeight="1">
      <c r="B201" s="23"/>
      <c r="C201" s="72">
        <f t="shared" si="2"/>
        <v>0.72231666666666439</v>
      </c>
      <c r="D201" s="16">
        <v>565</v>
      </c>
      <c r="E201" s="68">
        <v>114</v>
      </c>
      <c r="F201" s="68">
        <v>114</v>
      </c>
      <c r="G201" s="68">
        <v>114</v>
      </c>
      <c r="H201" s="68">
        <v>114</v>
      </c>
      <c r="I201" s="68">
        <v>114</v>
      </c>
      <c r="J201" s="68">
        <v>114</v>
      </c>
      <c r="K201" s="68">
        <v>114</v>
      </c>
      <c r="L201" s="68">
        <v>114</v>
      </c>
      <c r="N201" s="50"/>
      <c r="Q201" s="66"/>
      <c r="W201" s="67"/>
      <c r="X201" s="67"/>
      <c r="Y201" s="67"/>
      <c r="AB201" s="70"/>
      <c r="AC201" s="70"/>
      <c r="AD201" s="70"/>
      <c r="AE201" s="70"/>
      <c r="AF201" s="70"/>
      <c r="AG201" s="70"/>
      <c r="AH201" s="70"/>
      <c r="AI201" s="70"/>
      <c r="AJ201" s="70"/>
      <c r="AK201" s="70"/>
    </row>
    <row r="202" spans="2:37" ht="14.1" customHeight="1">
      <c r="B202" s="23"/>
      <c r="C202" s="72">
        <f t="shared" si="2"/>
        <v>0.72571666666666435</v>
      </c>
      <c r="D202" s="71">
        <v>570</v>
      </c>
      <c r="E202" s="69">
        <v>115</v>
      </c>
      <c r="F202" s="69">
        <v>115</v>
      </c>
      <c r="G202" s="69">
        <v>115</v>
      </c>
      <c r="H202" s="69">
        <v>115</v>
      </c>
      <c r="I202" s="69">
        <v>115</v>
      </c>
      <c r="J202" s="69">
        <v>115</v>
      </c>
      <c r="K202" s="69">
        <v>115</v>
      </c>
      <c r="L202" s="69">
        <v>115</v>
      </c>
      <c r="N202" s="50"/>
      <c r="Q202" s="66"/>
      <c r="W202" s="67"/>
      <c r="X202" s="67"/>
      <c r="Y202" s="67"/>
      <c r="AB202" s="70"/>
      <c r="AC202" s="70"/>
      <c r="AD202" s="70"/>
      <c r="AE202" s="70"/>
      <c r="AF202" s="70"/>
      <c r="AG202" s="70"/>
      <c r="AH202" s="70"/>
      <c r="AI202" s="70"/>
      <c r="AJ202" s="70"/>
      <c r="AK202" s="70"/>
    </row>
    <row r="203" spans="2:37" ht="14.1" customHeight="1">
      <c r="B203" s="23"/>
      <c r="C203" s="72">
        <f t="shared" si="2"/>
        <v>0.7291166666666643</v>
      </c>
      <c r="D203" s="16">
        <v>575</v>
      </c>
      <c r="E203" s="68">
        <v>116</v>
      </c>
      <c r="F203" s="68">
        <v>116</v>
      </c>
      <c r="G203" s="68">
        <v>116</v>
      </c>
      <c r="H203" s="68">
        <v>116</v>
      </c>
      <c r="I203" s="68">
        <v>116</v>
      </c>
      <c r="J203" s="68">
        <v>116</v>
      </c>
      <c r="K203" s="68">
        <v>116</v>
      </c>
      <c r="L203" s="68">
        <v>116</v>
      </c>
      <c r="N203" s="50"/>
      <c r="Q203" s="66"/>
      <c r="W203" s="67"/>
      <c r="X203" s="67"/>
      <c r="Y203" s="67"/>
      <c r="AB203" s="70"/>
      <c r="AC203" s="70"/>
      <c r="AD203" s="70"/>
      <c r="AE203" s="70"/>
      <c r="AF203" s="70"/>
      <c r="AG203" s="70"/>
      <c r="AH203" s="70"/>
      <c r="AI203" s="70"/>
      <c r="AJ203" s="70"/>
      <c r="AK203" s="70"/>
    </row>
    <row r="204" spans="2:37" ht="14.1" customHeight="1">
      <c r="B204" s="23"/>
      <c r="C204" s="72">
        <f t="shared" si="2"/>
        <v>0.73251666666666426</v>
      </c>
      <c r="D204" s="16">
        <v>580</v>
      </c>
      <c r="E204" s="68">
        <v>117</v>
      </c>
      <c r="F204" s="68">
        <v>117</v>
      </c>
      <c r="G204" s="68">
        <v>117</v>
      </c>
      <c r="H204" s="68">
        <v>117</v>
      </c>
      <c r="I204" s="68">
        <v>117</v>
      </c>
      <c r="J204" s="68">
        <v>117</v>
      </c>
      <c r="K204" s="68">
        <v>117</v>
      </c>
      <c r="L204" s="68">
        <v>117</v>
      </c>
      <c r="N204" s="50"/>
      <c r="Q204" s="66"/>
      <c r="W204" s="67"/>
      <c r="X204" s="67"/>
      <c r="Y204" s="67"/>
      <c r="AB204" s="70"/>
      <c r="AC204" s="70"/>
      <c r="AD204" s="70"/>
      <c r="AE204" s="70"/>
      <c r="AF204" s="70"/>
      <c r="AG204" s="70"/>
      <c r="AH204" s="70"/>
      <c r="AI204" s="70"/>
      <c r="AJ204" s="70"/>
      <c r="AK204" s="70"/>
    </row>
    <row r="205" spans="2:37" ht="14.1" customHeight="1">
      <c r="B205" s="23"/>
      <c r="C205" s="72">
        <f t="shared" si="2"/>
        <v>0.73591666666666422</v>
      </c>
      <c r="D205" s="16">
        <v>585</v>
      </c>
      <c r="E205" s="68">
        <v>118</v>
      </c>
      <c r="F205" s="68">
        <v>118</v>
      </c>
      <c r="G205" s="68">
        <v>118</v>
      </c>
      <c r="H205" s="68">
        <v>118</v>
      </c>
      <c r="I205" s="68">
        <v>118</v>
      </c>
      <c r="J205" s="68">
        <v>118</v>
      </c>
      <c r="K205" s="68">
        <v>118</v>
      </c>
      <c r="L205" s="68">
        <v>118</v>
      </c>
      <c r="N205" s="50"/>
      <c r="Q205" s="66"/>
      <c r="W205" s="67"/>
      <c r="X205" s="67"/>
      <c r="Y205" s="67"/>
      <c r="AB205" s="70"/>
      <c r="AC205" s="70"/>
      <c r="AD205" s="70"/>
      <c r="AE205" s="70"/>
      <c r="AF205" s="70"/>
      <c r="AG205" s="70"/>
      <c r="AH205" s="70"/>
      <c r="AI205" s="70"/>
      <c r="AJ205" s="70"/>
      <c r="AK205" s="70"/>
    </row>
    <row r="206" spans="2:37" ht="14.1" customHeight="1">
      <c r="B206" s="23"/>
      <c r="C206" s="72">
        <f t="shared" si="2"/>
        <v>0.73931666666666418</v>
      </c>
      <c r="D206" s="16">
        <v>590</v>
      </c>
      <c r="E206" s="68">
        <v>119</v>
      </c>
      <c r="F206" s="68">
        <v>119</v>
      </c>
      <c r="G206" s="68">
        <v>119</v>
      </c>
      <c r="H206" s="68">
        <v>119</v>
      </c>
      <c r="I206" s="68">
        <v>119</v>
      </c>
      <c r="J206" s="68">
        <v>119</v>
      </c>
      <c r="K206" s="68">
        <v>119</v>
      </c>
      <c r="L206" s="68">
        <v>119</v>
      </c>
      <c r="N206" s="50"/>
      <c r="Q206" s="66"/>
      <c r="W206" s="67"/>
      <c r="X206" s="67"/>
      <c r="Y206" s="67"/>
      <c r="AB206" s="70"/>
      <c r="AC206" s="70"/>
      <c r="AD206" s="70"/>
      <c r="AE206" s="70"/>
      <c r="AF206" s="70"/>
      <c r="AG206" s="70"/>
      <c r="AH206" s="70"/>
      <c r="AI206" s="70"/>
      <c r="AJ206" s="70"/>
      <c r="AK206" s="70"/>
    </row>
    <row r="207" spans="2:37" ht="14.1" customHeight="1">
      <c r="B207" s="23"/>
      <c r="C207" s="72">
        <f t="shared" si="2"/>
        <v>0.74271666666666414</v>
      </c>
      <c r="D207" s="16">
        <v>595</v>
      </c>
      <c r="E207" s="68">
        <v>120</v>
      </c>
      <c r="F207" s="68">
        <v>120</v>
      </c>
      <c r="G207" s="68">
        <v>120</v>
      </c>
      <c r="H207" s="68">
        <v>120</v>
      </c>
      <c r="I207" s="68">
        <v>120</v>
      </c>
      <c r="J207" s="68">
        <v>120</v>
      </c>
      <c r="K207" s="68">
        <v>120</v>
      </c>
      <c r="L207" s="68">
        <v>120</v>
      </c>
      <c r="N207" s="50"/>
      <c r="Q207" s="66"/>
      <c r="W207" s="67"/>
      <c r="X207" s="67"/>
      <c r="Y207" s="67"/>
      <c r="AB207" s="70"/>
      <c r="AC207" s="70"/>
      <c r="AD207" s="70"/>
      <c r="AE207" s="70"/>
      <c r="AF207" s="70"/>
      <c r="AG207" s="70"/>
      <c r="AH207" s="70"/>
      <c r="AI207" s="70"/>
      <c r="AJ207" s="70"/>
      <c r="AK207" s="70"/>
    </row>
    <row r="208" spans="2:37" ht="14.1" customHeight="1">
      <c r="B208" s="23"/>
      <c r="C208" s="72">
        <f t="shared" si="2"/>
        <v>0.7461166666666641</v>
      </c>
      <c r="D208" s="65">
        <v>600</v>
      </c>
      <c r="E208" s="69">
        <v>121</v>
      </c>
      <c r="F208" s="69">
        <v>121</v>
      </c>
      <c r="G208" s="69">
        <v>121</v>
      </c>
      <c r="H208" s="69">
        <v>121</v>
      </c>
      <c r="I208" s="69">
        <v>121</v>
      </c>
      <c r="J208" s="69">
        <v>121</v>
      </c>
      <c r="K208" s="69">
        <v>121</v>
      </c>
      <c r="L208" s="69">
        <v>121</v>
      </c>
      <c r="N208" s="50"/>
      <c r="Q208" s="66"/>
      <c r="W208" s="67"/>
      <c r="X208" s="67"/>
      <c r="Y208" s="67"/>
      <c r="AB208" s="70"/>
      <c r="AC208" s="70"/>
      <c r="AD208" s="70"/>
      <c r="AE208" s="70"/>
      <c r="AF208" s="70"/>
      <c r="AG208" s="70"/>
      <c r="AH208" s="70"/>
      <c r="AI208" s="70"/>
      <c r="AJ208" s="70"/>
      <c r="AK208" s="70"/>
    </row>
    <row r="209" spans="2:37" ht="13.5" customHeight="1" thickBot="1">
      <c r="B209" s="23"/>
      <c r="C209" s="64"/>
      <c r="D209" s="66"/>
      <c r="E209" s="67"/>
      <c r="F209" s="67"/>
      <c r="G209" s="67"/>
      <c r="H209" s="67"/>
      <c r="I209" s="67"/>
      <c r="J209" s="67"/>
      <c r="K209" s="67"/>
      <c r="L209" s="67"/>
      <c r="N209" s="50"/>
      <c r="Q209" s="66"/>
      <c r="W209" s="67"/>
      <c r="X209" s="67"/>
      <c r="Y209" s="67"/>
      <c r="AB209" s="70"/>
      <c r="AC209" s="70"/>
      <c r="AD209" s="70"/>
      <c r="AE209" s="70"/>
      <c r="AF209" s="70"/>
      <c r="AG209" s="70"/>
      <c r="AH209" s="70"/>
      <c r="AI209" s="70"/>
      <c r="AJ209" s="70"/>
      <c r="AK209" s="70"/>
    </row>
    <row r="210" spans="2:37" ht="14.1" customHeight="1">
      <c r="B210" s="23"/>
      <c r="D210" s="66"/>
      <c r="E210" s="210" t="s">
        <v>55</v>
      </c>
      <c r="F210" s="210"/>
      <c r="G210" s="210"/>
      <c r="H210" s="210"/>
      <c r="I210" s="210"/>
      <c r="J210" s="210"/>
      <c r="K210" s="211"/>
      <c r="N210" s="50"/>
    </row>
    <row r="211" spans="2:37" ht="14.1" customHeight="1">
      <c r="B211" s="23"/>
      <c r="N211" s="50"/>
    </row>
    <row r="212" spans="2:37" ht="14.1" customHeight="1">
      <c r="B212" s="23"/>
      <c r="N212" s="50"/>
    </row>
    <row r="213" spans="2:37" ht="14.1" customHeight="1">
      <c r="B213" s="23"/>
      <c r="N213" s="50"/>
    </row>
    <row r="214" spans="2:37" ht="14.1" customHeight="1">
      <c r="B214" s="23"/>
      <c r="N214" s="50"/>
    </row>
    <row r="215" spans="2:37" ht="14.1" customHeight="1">
      <c r="B215" s="23"/>
      <c r="N215" s="50"/>
    </row>
    <row r="216" spans="2:37" ht="14.1" customHeight="1">
      <c r="B216" s="23"/>
      <c r="N216" s="50"/>
    </row>
    <row r="217" spans="2:37" ht="14.1" customHeight="1">
      <c r="B217" s="23"/>
      <c r="N217" s="50"/>
    </row>
    <row r="218" spans="2:37" ht="14.1" customHeight="1">
      <c r="B218" s="23"/>
      <c r="N218" s="50"/>
    </row>
    <row r="219" spans="2:37" ht="14.1" customHeight="1">
      <c r="B219" s="23"/>
      <c r="N219" s="50"/>
    </row>
    <row r="220" spans="2:37" ht="14.1" customHeight="1">
      <c r="B220" s="23"/>
      <c r="N220" s="50"/>
    </row>
    <row r="221" spans="2:37" ht="14.1" customHeight="1">
      <c r="B221" s="23"/>
      <c r="N221" s="50"/>
    </row>
    <row r="222" spans="2:37" ht="14.1" customHeight="1">
      <c r="B222" s="23"/>
      <c r="N222" s="50"/>
    </row>
    <row r="223" spans="2:37" ht="14.1" customHeight="1">
      <c r="B223" s="23"/>
      <c r="N223" s="50"/>
    </row>
    <row r="224" spans="2:37" ht="14.1" customHeight="1">
      <c r="B224" s="23"/>
      <c r="N224" s="50"/>
    </row>
    <row r="225" spans="2:29" ht="14.1" customHeight="1">
      <c r="B225" s="23"/>
      <c r="N225" s="50"/>
    </row>
    <row r="226" spans="2:29" ht="14.1" customHeight="1">
      <c r="B226" s="23"/>
      <c r="N226" s="50"/>
    </row>
    <row r="227" spans="2:29" ht="14.1" customHeight="1">
      <c r="B227" s="23"/>
      <c r="N227" s="50"/>
    </row>
    <row r="228" spans="2:29" ht="14.1" customHeight="1">
      <c r="B228" s="23"/>
      <c r="N228" s="50"/>
    </row>
    <row r="229" spans="2:29" ht="14.1" customHeight="1">
      <c r="B229" s="23"/>
      <c r="N229" s="50"/>
    </row>
    <row r="230" spans="2:29" ht="14.1" customHeight="1">
      <c r="B230" s="23"/>
      <c r="N230" s="50"/>
    </row>
    <row r="231" spans="2:29" ht="14.1" customHeight="1">
      <c r="B231" s="23"/>
      <c r="N231" s="50"/>
    </row>
    <row r="232" spans="2:29" ht="13.5" customHeight="1">
      <c r="B232" s="207" t="s">
        <v>51</v>
      </c>
      <c r="C232" s="208"/>
      <c r="D232" s="208"/>
      <c r="E232" s="208"/>
      <c r="F232" s="208"/>
      <c r="G232" s="208"/>
      <c r="H232" s="208"/>
      <c r="I232" s="208"/>
      <c r="J232" s="208"/>
      <c r="K232" s="208"/>
      <c r="L232" s="208"/>
      <c r="M232" s="208"/>
      <c r="N232" s="209"/>
    </row>
    <row r="233" spans="2:29" ht="14.1" customHeight="1" thickBot="1">
      <c r="B233" s="23"/>
      <c r="N233" s="50"/>
    </row>
    <row r="234" spans="2:29" ht="14.1" customHeight="1">
      <c r="B234" s="23"/>
      <c r="G234" s="201" t="s">
        <v>17</v>
      </c>
      <c r="H234" s="202"/>
      <c r="I234" s="202"/>
      <c r="J234" s="203"/>
      <c r="N234" s="50"/>
    </row>
    <row r="235" spans="2:29" ht="14.1" customHeight="1">
      <c r="B235" s="23"/>
      <c r="G235" s="37" t="s">
        <v>15</v>
      </c>
      <c r="H235" s="204" t="s">
        <v>1</v>
      </c>
      <c r="I235" s="204"/>
      <c r="J235" s="51" t="s">
        <v>16</v>
      </c>
      <c r="N235" s="50"/>
    </row>
    <row r="236" spans="2:29" ht="14.1" customHeight="1">
      <c r="B236" s="23"/>
      <c r="G236" s="134">
        <v>1.37</v>
      </c>
      <c r="H236" s="173">
        <f>INT(G236)*60+(G236-INT(G236))*100</f>
        <v>97.000000000000014</v>
      </c>
      <c r="I236" s="174"/>
      <c r="J236" s="135">
        <v>4357</v>
      </c>
      <c r="N236" s="50"/>
      <c r="V236" s="175" t="s">
        <v>11</v>
      </c>
      <c r="W236" s="176"/>
      <c r="X236" s="176"/>
      <c r="Y236" s="176"/>
      <c r="Z236" s="176"/>
      <c r="AA236" s="176"/>
      <c r="AB236" s="177"/>
      <c r="AC236" s="177"/>
    </row>
    <row r="237" spans="2:29" ht="14.1" customHeight="1">
      <c r="B237" s="23"/>
      <c r="G237" s="134">
        <v>1.45</v>
      </c>
      <c r="H237" s="173">
        <f t="shared" ref="H237:H244" si="3">INT(G237)*60+(G237-INT(G237))*100</f>
        <v>105</v>
      </c>
      <c r="I237" s="174"/>
      <c r="J237" s="135">
        <v>4350</v>
      </c>
      <c r="N237" s="50"/>
    </row>
    <row r="238" spans="2:29" ht="14.1" customHeight="1">
      <c r="B238" s="23"/>
      <c r="G238" s="134">
        <v>1.55</v>
      </c>
      <c r="H238" s="173">
        <f t="shared" si="3"/>
        <v>115</v>
      </c>
      <c r="I238" s="174"/>
      <c r="J238" s="135">
        <v>4345</v>
      </c>
      <c r="N238" s="50"/>
    </row>
    <row r="239" spans="2:29" ht="14.1" customHeight="1">
      <c r="B239" s="23"/>
      <c r="G239" s="134">
        <v>1.59</v>
      </c>
      <c r="H239" s="173">
        <f t="shared" si="3"/>
        <v>119</v>
      </c>
      <c r="I239" s="174"/>
      <c r="J239" s="135">
        <v>4343</v>
      </c>
      <c r="N239" s="50"/>
    </row>
    <row r="240" spans="2:29" ht="14.1" customHeight="1">
      <c r="B240" s="23"/>
      <c r="G240" s="134">
        <v>2.02</v>
      </c>
      <c r="H240" s="173">
        <f t="shared" si="3"/>
        <v>122</v>
      </c>
      <c r="I240" s="174"/>
      <c r="J240" s="135">
        <v>4341</v>
      </c>
      <c r="N240" s="50"/>
    </row>
    <row r="241" spans="2:14" ht="14.1" customHeight="1">
      <c r="B241" s="23"/>
      <c r="G241" s="134">
        <v>2.06</v>
      </c>
      <c r="H241" s="173">
        <f t="shared" si="3"/>
        <v>126</v>
      </c>
      <c r="I241" s="174"/>
      <c r="J241" s="135">
        <v>4339</v>
      </c>
      <c r="N241" s="50"/>
    </row>
    <row r="242" spans="2:14" ht="14.1" customHeight="1">
      <c r="B242" s="23"/>
      <c r="G242" s="134">
        <v>2.11</v>
      </c>
      <c r="H242" s="173">
        <f t="shared" si="3"/>
        <v>131</v>
      </c>
      <c r="I242" s="174"/>
      <c r="J242" s="135">
        <v>4337</v>
      </c>
      <c r="N242" s="50"/>
    </row>
    <row r="243" spans="2:14" ht="14.1" customHeight="1">
      <c r="B243" s="23"/>
      <c r="G243" s="134">
        <v>2.15</v>
      </c>
      <c r="H243" s="173">
        <f t="shared" si="3"/>
        <v>135</v>
      </c>
      <c r="I243" s="174"/>
      <c r="J243" s="135">
        <v>4335</v>
      </c>
      <c r="N243" s="50"/>
    </row>
    <row r="244" spans="2:14" ht="14.1" customHeight="1">
      <c r="B244" s="23"/>
      <c r="G244" s="134">
        <v>2.1800000000000002</v>
      </c>
      <c r="H244" s="173">
        <f t="shared" si="3"/>
        <v>138</v>
      </c>
      <c r="I244" s="174"/>
      <c r="J244" s="135">
        <v>4333</v>
      </c>
      <c r="N244" s="50"/>
    </row>
    <row r="245" spans="2:14" ht="14.1" customHeight="1">
      <c r="B245" s="23"/>
      <c r="G245" s="134">
        <v>2.2200000000000002</v>
      </c>
      <c r="H245" s="173">
        <f t="shared" ref="H245:H247" si="4">INT(G245)*60+(G245-INT(G245))*100</f>
        <v>142.00000000000003</v>
      </c>
      <c r="I245" s="174"/>
      <c r="J245" s="135">
        <v>4331</v>
      </c>
      <c r="N245" s="50"/>
    </row>
    <row r="246" spans="2:14" ht="14.1" customHeight="1">
      <c r="B246" s="23"/>
      <c r="G246" s="134">
        <v>2.27</v>
      </c>
      <c r="H246" s="173">
        <f t="shared" si="4"/>
        <v>147</v>
      </c>
      <c r="I246" s="174"/>
      <c r="J246" s="135">
        <v>4329</v>
      </c>
      <c r="N246" s="50"/>
    </row>
    <row r="247" spans="2:14" ht="14.1" customHeight="1">
      <c r="B247" s="23"/>
      <c r="G247" s="134">
        <v>2.2999999999999998</v>
      </c>
      <c r="H247" s="173">
        <f t="shared" si="4"/>
        <v>149.99999999999997</v>
      </c>
      <c r="I247" s="174"/>
      <c r="J247" s="135">
        <v>4327</v>
      </c>
      <c r="N247" s="50"/>
    </row>
    <row r="248" spans="2:14" ht="14.1" customHeight="1">
      <c r="B248" s="23"/>
      <c r="G248" s="134">
        <v>2.34</v>
      </c>
      <c r="H248" s="173">
        <f t="shared" ref="H248:H249" si="5">INT(G248)*60+(G248-INT(G248))*100</f>
        <v>154</v>
      </c>
      <c r="I248" s="174"/>
      <c r="J248" s="135">
        <v>4325</v>
      </c>
      <c r="N248" s="50"/>
    </row>
    <row r="249" spans="2:14" ht="14.1" customHeight="1">
      <c r="B249" s="23"/>
      <c r="G249" s="134">
        <v>2.39</v>
      </c>
      <c r="H249" s="173">
        <f t="shared" si="5"/>
        <v>159</v>
      </c>
      <c r="I249" s="174"/>
      <c r="J249" s="135">
        <v>4323</v>
      </c>
      <c r="N249" s="50"/>
    </row>
    <row r="250" spans="2:14" ht="14.1" customHeight="1">
      <c r="B250" s="23"/>
      <c r="G250" s="134">
        <v>2.4300000000000002</v>
      </c>
      <c r="H250" s="173">
        <f t="shared" ref="H250" si="6">INT(G250)*60+(G250-INT(G250))*100</f>
        <v>163</v>
      </c>
      <c r="I250" s="174"/>
      <c r="J250" s="135">
        <v>4321</v>
      </c>
      <c r="N250" s="50"/>
    </row>
    <row r="251" spans="2:14" ht="14.1" customHeight="1" thickBot="1">
      <c r="B251" s="23"/>
      <c r="N251" s="50"/>
    </row>
    <row r="252" spans="2:14" ht="14.1" customHeight="1">
      <c r="B252" s="23"/>
      <c r="E252" s="223" t="s">
        <v>91</v>
      </c>
      <c r="F252" s="224"/>
      <c r="G252" s="224"/>
      <c r="H252" s="224"/>
      <c r="I252" s="224"/>
      <c r="J252" s="224"/>
      <c r="K252" s="225"/>
      <c r="N252" s="50"/>
    </row>
    <row r="253" spans="2:14" ht="14.1" customHeight="1">
      <c r="B253" s="23"/>
      <c r="N253" s="50"/>
    </row>
    <row r="254" spans="2:14" ht="14.1" customHeight="1">
      <c r="B254" s="23"/>
      <c r="N254" s="50"/>
    </row>
    <row r="255" spans="2:14" ht="14.1" customHeight="1">
      <c r="B255" s="23"/>
      <c r="N255" s="50"/>
    </row>
    <row r="256" spans="2:14" ht="14.1" customHeight="1">
      <c r="B256" s="23"/>
      <c r="N256" s="50"/>
    </row>
    <row r="257" spans="2:14" ht="14.1" customHeight="1">
      <c r="B257" s="23"/>
      <c r="N257" s="50"/>
    </row>
    <row r="258" spans="2:14" ht="14.1" customHeight="1">
      <c r="B258" s="23"/>
      <c r="N258" s="50"/>
    </row>
    <row r="259" spans="2:14" ht="14.1" customHeight="1">
      <c r="B259" s="23"/>
      <c r="N259" s="50"/>
    </row>
    <row r="260" spans="2:14" ht="14.1" customHeight="1">
      <c r="B260" s="23"/>
      <c r="N260" s="50"/>
    </row>
    <row r="261" spans="2:14" ht="14.1" customHeight="1">
      <c r="B261" s="23"/>
      <c r="N261" s="50"/>
    </row>
    <row r="262" spans="2:14" ht="14.1" customHeight="1">
      <c r="B262" s="23"/>
      <c r="N262" s="50"/>
    </row>
    <row r="263" spans="2:14" ht="14.1" customHeight="1">
      <c r="B263" s="23"/>
      <c r="N263" s="50"/>
    </row>
    <row r="264" spans="2:14" ht="14.1" customHeight="1">
      <c r="B264" s="207" t="s">
        <v>52</v>
      </c>
      <c r="C264" s="208"/>
      <c r="D264" s="208"/>
      <c r="E264" s="208"/>
      <c r="F264" s="208"/>
      <c r="G264" s="208"/>
      <c r="H264" s="208"/>
      <c r="I264" s="208"/>
      <c r="J264" s="208"/>
      <c r="K264" s="208"/>
      <c r="L264" s="208"/>
      <c r="M264" s="208"/>
      <c r="N264" s="209"/>
    </row>
    <row r="265" spans="2:14" ht="14.1" customHeight="1" thickBot="1">
      <c r="B265" s="23"/>
      <c r="N265" s="50"/>
    </row>
    <row r="266" spans="2:14" ht="14.1" customHeight="1">
      <c r="B266" s="23"/>
      <c r="C266" s="245" t="s">
        <v>69</v>
      </c>
      <c r="D266" s="224"/>
      <c r="E266" s="224"/>
      <c r="F266" s="224"/>
      <c r="G266" s="224"/>
      <c r="H266" s="224"/>
      <c r="I266" s="224"/>
      <c r="J266" s="224"/>
      <c r="K266" s="224"/>
      <c r="L266" s="224"/>
      <c r="M266" s="225"/>
      <c r="N266" s="50"/>
    </row>
    <row r="267" spans="2:14" ht="14.1" customHeight="1">
      <c r="B267" s="23"/>
      <c r="C267" s="239" t="s">
        <v>59</v>
      </c>
      <c r="D267" s="240"/>
      <c r="E267" s="240"/>
      <c r="F267" s="240"/>
      <c r="G267" s="241" t="s">
        <v>78</v>
      </c>
      <c r="H267" s="242"/>
      <c r="I267" s="242"/>
      <c r="J267" s="242"/>
      <c r="K267" s="243"/>
      <c r="L267" s="243"/>
      <c r="M267" s="244"/>
      <c r="N267" s="50"/>
    </row>
    <row r="268" spans="2:14" ht="14.1" customHeight="1">
      <c r="B268" s="23"/>
      <c r="C268" s="21"/>
      <c r="D268" s="12"/>
      <c r="E268" s="12"/>
      <c r="F268" s="22"/>
      <c r="G268" s="30"/>
      <c r="H268" s="12"/>
      <c r="I268" s="12"/>
      <c r="J268" s="12"/>
      <c r="K268" s="12"/>
      <c r="L268" s="12"/>
      <c r="M268" s="31"/>
      <c r="N268" s="50"/>
    </row>
    <row r="269" spans="2:14" ht="14.1" customHeight="1">
      <c r="B269" s="23"/>
      <c r="C269" s="23"/>
      <c r="F269" s="24"/>
      <c r="G269" s="248" t="s">
        <v>83</v>
      </c>
      <c r="H269" s="249"/>
      <c r="I269" s="249"/>
      <c r="J269" s="249"/>
      <c r="K269" s="249"/>
      <c r="L269" s="28">
        <v>3354</v>
      </c>
      <c r="M269" s="29" t="s">
        <v>61</v>
      </c>
      <c r="N269" s="50"/>
    </row>
    <row r="270" spans="2:14" ht="14.1" customHeight="1">
      <c r="B270" s="23"/>
      <c r="C270" s="23"/>
      <c r="F270" s="24"/>
      <c r="G270" s="248" t="s">
        <v>64</v>
      </c>
      <c r="H270" s="249"/>
      <c r="I270" s="249"/>
      <c r="J270" s="249"/>
      <c r="K270" s="249"/>
      <c r="L270" s="28">
        <v>14.65</v>
      </c>
      <c r="M270" s="29" t="s">
        <v>62</v>
      </c>
      <c r="N270" s="50"/>
    </row>
    <row r="271" spans="2:14" ht="14.1" customHeight="1">
      <c r="B271" s="23"/>
      <c r="C271" s="23"/>
      <c r="F271" s="24"/>
      <c r="G271" s="248" t="s">
        <v>104</v>
      </c>
      <c r="H271" s="249"/>
      <c r="I271" s="249"/>
      <c r="J271" s="249"/>
      <c r="K271" s="249"/>
      <c r="L271" s="136">
        <v>3229.9</v>
      </c>
      <c r="M271" s="29" t="str">
        <f>M269</f>
        <v>mΩ</v>
      </c>
      <c r="N271" s="50"/>
    </row>
    <row r="272" spans="2:14" ht="14.1" customHeight="1" thickBot="1">
      <c r="B272" s="23"/>
      <c r="C272" s="25"/>
      <c r="D272" s="26"/>
      <c r="E272" s="26"/>
      <c r="F272" s="27"/>
      <c r="G272" s="250"/>
      <c r="H272" s="247"/>
      <c r="I272" s="247"/>
      <c r="J272" s="247"/>
      <c r="K272" s="247"/>
      <c r="L272" s="32"/>
      <c r="M272" s="33"/>
      <c r="N272" s="50"/>
    </row>
    <row r="273" spans="2:19" ht="14.1" customHeight="1">
      <c r="B273" s="23"/>
      <c r="N273" s="50"/>
    </row>
    <row r="274" spans="2:19" ht="14.1" customHeight="1">
      <c r="B274" s="23"/>
      <c r="K274" s="14" t="s">
        <v>92</v>
      </c>
      <c r="L274" s="39">
        <f>((L271/J34)*(J36+AP27))-AP27</f>
        <v>-7.3621347644603361</v>
      </c>
      <c r="M274" s="34" t="str">
        <f>M270</f>
        <v xml:space="preserve"> °C</v>
      </c>
      <c r="N274" s="50"/>
    </row>
    <row r="275" spans="2:19" ht="14.1" customHeight="1" thickBot="1">
      <c r="B275" s="23"/>
      <c r="N275" s="50"/>
    </row>
    <row r="276" spans="2:19" ht="14.1" customHeight="1">
      <c r="B276" s="23"/>
      <c r="C276" s="245" t="s">
        <v>63</v>
      </c>
      <c r="D276" s="224"/>
      <c r="E276" s="224"/>
      <c r="F276" s="224"/>
      <c r="G276" s="224"/>
      <c r="H276" s="224"/>
      <c r="I276" s="224"/>
      <c r="J276" s="224"/>
      <c r="K276" s="224"/>
      <c r="L276" s="224"/>
      <c r="M276" s="225"/>
      <c r="N276" s="50"/>
    </row>
    <row r="277" spans="2:19" ht="14.1" customHeight="1">
      <c r="B277" s="23"/>
      <c r="C277" s="239" t="s">
        <v>59</v>
      </c>
      <c r="D277" s="240"/>
      <c r="E277" s="240"/>
      <c r="F277" s="240"/>
      <c r="G277" s="241" t="s">
        <v>78</v>
      </c>
      <c r="H277" s="242"/>
      <c r="I277" s="242"/>
      <c r="J277" s="242"/>
      <c r="K277" s="243"/>
      <c r="L277" s="243"/>
      <c r="M277" s="244"/>
      <c r="N277" s="50"/>
      <c r="S277" s="14"/>
    </row>
    <row r="278" spans="2:19" ht="14.1" customHeight="1">
      <c r="B278" s="23"/>
      <c r="C278" s="21"/>
      <c r="D278" s="12"/>
      <c r="E278" s="12"/>
      <c r="F278" s="22"/>
      <c r="G278" s="30"/>
      <c r="H278" s="12"/>
      <c r="I278" s="12"/>
      <c r="J278" s="12"/>
      <c r="K278" s="12"/>
      <c r="L278" s="12"/>
      <c r="M278" s="31"/>
      <c r="N278" s="50"/>
      <c r="S278" s="14"/>
    </row>
    <row r="279" spans="2:19" ht="14.1" customHeight="1">
      <c r="B279" s="23"/>
      <c r="C279" s="23"/>
      <c r="F279" s="24"/>
      <c r="G279" s="248" t="s">
        <v>66</v>
      </c>
      <c r="H279" s="249"/>
      <c r="I279" s="249"/>
      <c r="J279" s="249"/>
      <c r="K279" s="249"/>
      <c r="L279" s="38">
        <f>L274</f>
        <v>-7.3621347644603361</v>
      </c>
      <c r="M279" s="29" t="str">
        <f>M274</f>
        <v xml:space="preserve"> °C</v>
      </c>
      <c r="N279" s="50"/>
      <c r="S279" s="14"/>
    </row>
    <row r="280" spans="2:19" ht="14.1" customHeight="1">
      <c r="B280" s="23"/>
      <c r="C280" s="23"/>
      <c r="F280" s="24"/>
      <c r="G280" s="248" t="s">
        <v>67</v>
      </c>
      <c r="H280" s="249"/>
      <c r="I280" s="249"/>
      <c r="J280" s="249"/>
      <c r="K280" s="249"/>
      <c r="L280" s="38">
        <f>MEDIAN(J208:L208)</f>
        <v>121</v>
      </c>
      <c r="M280" s="29" t="s">
        <v>62</v>
      </c>
      <c r="N280" s="50"/>
    </row>
    <row r="281" spans="2:19" ht="14.1" customHeight="1" thickBot="1">
      <c r="B281" s="23"/>
      <c r="C281" s="25"/>
      <c r="D281" s="26"/>
      <c r="E281" s="26"/>
      <c r="F281" s="27"/>
      <c r="G281" s="246"/>
      <c r="H281" s="247"/>
      <c r="I281" s="247"/>
      <c r="J281" s="247"/>
      <c r="K281" s="247"/>
      <c r="L281" s="35"/>
      <c r="M281" s="33"/>
      <c r="N281" s="50"/>
    </row>
    <row r="282" spans="2:19" ht="14.1" customHeight="1">
      <c r="B282" s="23"/>
      <c r="N282" s="50"/>
    </row>
    <row r="283" spans="2:19" ht="14.1" customHeight="1">
      <c r="B283" s="23"/>
      <c r="I283" s="14" t="s">
        <v>65</v>
      </c>
      <c r="J283" s="39">
        <f>L274-L280</f>
        <v>-128.36213476446034</v>
      </c>
      <c r="K283" s="34" t="str">
        <f>M280</f>
        <v xml:space="preserve"> °C</v>
      </c>
      <c r="N283" s="50"/>
    </row>
    <row r="284" spans="2:19" ht="14.1" customHeight="1" thickBot="1">
      <c r="B284" s="23"/>
      <c r="N284" s="50"/>
      <c r="S284" s="14"/>
    </row>
    <row r="285" spans="2:19" ht="14.1" customHeight="1">
      <c r="B285" s="23"/>
      <c r="C285" s="238" t="s">
        <v>84</v>
      </c>
      <c r="D285" s="224"/>
      <c r="E285" s="224"/>
      <c r="F285" s="224"/>
      <c r="G285" s="224"/>
      <c r="H285" s="224"/>
      <c r="I285" s="224"/>
      <c r="J285" s="224"/>
      <c r="K285" s="224"/>
      <c r="L285" s="224"/>
      <c r="M285" s="225"/>
      <c r="N285" s="50"/>
    </row>
    <row r="286" spans="2:19" ht="14.1" customHeight="1">
      <c r="B286" s="23"/>
      <c r="C286" s="239" t="str">
        <f>C277</f>
        <v>Formula</v>
      </c>
      <c r="D286" s="240"/>
      <c r="E286" s="240"/>
      <c r="F286" s="240"/>
      <c r="G286" s="241" t="str">
        <f>G277</f>
        <v>Variáveis</v>
      </c>
      <c r="H286" s="242"/>
      <c r="I286" s="242"/>
      <c r="J286" s="242"/>
      <c r="K286" s="243"/>
      <c r="L286" s="243"/>
      <c r="M286" s="244"/>
      <c r="N286" s="50"/>
    </row>
    <row r="287" spans="2:19" ht="14.1" customHeight="1">
      <c r="B287" s="23"/>
      <c r="C287" s="21"/>
      <c r="D287" s="12"/>
      <c r="E287" s="12"/>
      <c r="F287" s="22"/>
      <c r="G287" s="30"/>
      <c r="H287" s="12"/>
      <c r="I287" s="12"/>
      <c r="J287" s="12"/>
      <c r="K287" s="12"/>
      <c r="L287" s="12"/>
      <c r="M287" s="31"/>
      <c r="N287" s="50"/>
    </row>
    <row r="288" spans="2:19" ht="14.1" customHeight="1">
      <c r="B288" s="23"/>
      <c r="C288" s="23"/>
      <c r="F288" s="24"/>
      <c r="G288" s="248" t="s">
        <v>79</v>
      </c>
      <c r="H288" s="249"/>
      <c r="I288" s="249"/>
      <c r="J288" s="249"/>
      <c r="K288" s="249"/>
      <c r="L288" s="38">
        <v>40</v>
      </c>
      <c r="M288" s="29" t="str">
        <f>M280</f>
        <v xml:space="preserve"> °C</v>
      </c>
      <c r="N288" s="50"/>
    </row>
    <row r="289" spans="2:14" ht="14.1" customHeight="1">
      <c r="B289" s="23"/>
      <c r="C289" s="23"/>
      <c r="F289" s="24"/>
      <c r="G289" s="248" t="str">
        <f>G280</f>
        <v>Temp. Amb.  no desligamento - T2</v>
      </c>
      <c r="H289" s="249"/>
      <c r="I289" s="249"/>
      <c r="J289" s="249"/>
      <c r="K289" s="249"/>
      <c r="L289" s="38">
        <f>L280</f>
        <v>121</v>
      </c>
      <c r="M289" s="29" t="str">
        <f>M280</f>
        <v xml:space="preserve"> °C</v>
      </c>
      <c r="N289" s="50"/>
    </row>
    <row r="290" spans="2:14" ht="14.1" customHeight="1">
      <c r="B290" s="23"/>
      <c r="C290" s="23"/>
      <c r="F290" s="24"/>
      <c r="G290" s="248" t="s">
        <v>68</v>
      </c>
      <c r="H290" s="249"/>
      <c r="I290" s="249"/>
      <c r="J290" s="249"/>
      <c r="K290" s="249"/>
      <c r="L290" s="38">
        <f>J283</f>
        <v>-128.36213476446034</v>
      </c>
      <c r="M290" s="29" t="str">
        <f>K283</f>
        <v xml:space="preserve"> °C</v>
      </c>
      <c r="N290" s="50"/>
    </row>
    <row r="291" spans="2:14" ht="14.1" customHeight="1" thickBot="1">
      <c r="B291" s="23"/>
      <c r="C291" s="25"/>
      <c r="D291" s="26"/>
      <c r="E291" s="26"/>
      <c r="F291" s="27"/>
      <c r="G291" s="250"/>
      <c r="H291" s="247"/>
      <c r="I291" s="247"/>
      <c r="J291" s="247"/>
      <c r="K291" s="247"/>
      <c r="L291" s="32"/>
      <c r="M291" s="33"/>
      <c r="N291" s="50"/>
    </row>
    <row r="292" spans="2:14">
      <c r="B292" s="23"/>
      <c r="N292" s="50"/>
    </row>
    <row r="293" spans="2:14">
      <c r="B293" s="23"/>
      <c r="K293" s="14" t="s">
        <v>86</v>
      </c>
      <c r="L293" s="39">
        <f>(L290*(AP27+L288)/(AP27+L289))+L288</f>
        <v>-58.31203963173985</v>
      </c>
      <c r="M293" s="34" t="str">
        <f>K283</f>
        <v xml:space="preserve"> °C</v>
      </c>
      <c r="N293" s="50"/>
    </row>
    <row r="294" spans="2:14" ht="15" thickBot="1">
      <c r="B294" s="23"/>
      <c r="N294" s="50"/>
    </row>
    <row r="295" spans="2:14" ht="15">
      <c r="B295" s="23"/>
      <c r="C295" s="238" t="s">
        <v>87</v>
      </c>
      <c r="D295" s="224"/>
      <c r="E295" s="224"/>
      <c r="F295" s="224"/>
      <c r="G295" s="224"/>
      <c r="H295" s="224"/>
      <c r="I295" s="224"/>
      <c r="J295" s="224"/>
      <c r="K295" s="224"/>
      <c r="L295" s="224"/>
      <c r="M295" s="225"/>
      <c r="N295" s="50"/>
    </row>
    <row r="296" spans="2:14" ht="15">
      <c r="B296" s="23"/>
      <c r="C296" s="239" t="str">
        <f>C286</f>
        <v>Formula</v>
      </c>
      <c r="D296" s="240"/>
      <c r="E296" s="240"/>
      <c r="F296" s="240"/>
      <c r="G296" s="241" t="str">
        <f>G286</f>
        <v>Variáveis</v>
      </c>
      <c r="H296" s="242"/>
      <c r="I296" s="242"/>
      <c r="J296" s="242"/>
      <c r="K296" s="243"/>
      <c r="L296" s="243"/>
      <c r="M296" s="244"/>
      <c r="N296" s="50"/>
    </row>
    <row r="297" spans="2:14">
      <c r="B297" s="23"/>
      <c r="C297" s="21"/>
      <c r="D297" s="12"/>
      <c r="E297" s="12"/>
      <c r="F297" s="22"/>
      <c r="G297" s="30"/>
      <c r="H297" s="12"/>
      <c r="I297" s="12"/>
      <c r="J297" s="12"/>
      <c r="K297" s="12"/>
      <c r="L297" s="12"/>
      <c r="M297" s="31"/>
      <c r="N297" s="50"/>
    </row>
    <row r="298" spans="2:14" ht="15">
      <c r="B298" s="23"/>
      <c r="C298" s="23"/>
      <c r="F298" s="24"/>
      <c r="G298" s="248" t="s">
        <v>88</v>
      </c>
      <c r="H298" s="249"/>
      <c r="I298" s="249"/>
      <c r="J298" s="249"/>
      <c r="K298" s="249"/>
      <c r="L298" s="38">
        <f>L293</f>
        <v>-58.31203963173985</v>
      </c>
      <c r="M298" s="29" t="str">
        <f>M290</f>
        <v xml:space="preserve"> °C</v>
      </c>
      <c r="N298" s="50"/>
    </row>
    <row r="299" spans="2:14" ht="15">
      <c r="B299" s="23"/>
      <c r="C299" s="23"/>
      <c r="F299" s="24"/>
      <c r="G299" s="248" t="s">
        <v>79</v>
      </c>
      <c r="H299" s="249"/>
      <c r="I299" s="249"/>
      <c r="J299" s="249"/>
      <c r="K299" s="249"/>
      <c r="L299" s="38">
        <f>L288</f>
        <v>40</v>
      </c>
      <c r="M299" s="29" t="str">
        <f>M298</f>
        <v xml:space="preserve"> °C</v>
      </c>
      <c r="N299" s="50"/>
    </row>
    <row r="300" spans="2:14" ht="15.75" thickBot="1">
      <c r="B300" s="23"/>
      <c r="C300" s="25"/>
      <c r="D300" s="26"/>
      <c r="E300" s="26"/>
      <c r="F300" s="27"/>
      <c r="G300" s="250"/>
      <c r="H300" s="247"/>
      <c r="I300" s="247"/>
      <c r="J300" s="247"/>
      <c r="K300" s="247"/>
      <c r="L300" s="32"/>
      <c r="M300" s="33"/>
      <c r="N300" s="50"/>
    </row>
    <row r="301" spans="2:14">
      <c r="B301" s="23"/>
      <c r="N301" s="50"/>
    </row>
    <row r="302" spans="2:14">
      <c r="B302" s="23"/>
      <c r="K302" s="14" t="s">
        <v>89</v>
      </c>
      <c r="L302" s="39">
        <f>L298-L299</f>
        <v>-98.31203963173985</v>
      </c>
      <c r="M302" s="34" t="str">
        <f>M293</f>
        <v xml:space="preserve"> °C</v>
      </c>
      <c r="N302" s="50"/>
    </row>
    <row r="303" spans="2:14" ht="15" thickBot="1">
      <c r="B303" s="23"/>
      <c r="K303" s="14"/>
      <c r="L303" s="39"/>
      <c r="M303" s="34"/>
      <c r="N303" s="50"/>
    </row>
    <row r="304" spans="2:14" ht="15">
      <c r="B304" s="23"/>
      <c r="C304" s="238" t="s">
        <v>105</v>
      </c>
      <c r="D304" s="224"/>
      <c r="E304" s="224"/>
      <c r="F304" s="224"/>
      <c r="G304" s="224"/>
      <c r="H304" s="224"/>
      <c r="I304" s="224"/>
      <c r="J304" s="224"/>
      <c r="K304" s="224"/>
      <c r="L304" s="224"/>
      <c r="M304" s="225"/>
      <c r="N304" s="50"/>
    </row>
    <row r="305" spans="2:14" ht="15">
      <c r="B305" s="23"/>
      <c r="C305" s="239" t="str">
        <f>C296</f>
        <v>Formula</v>
      </c>
      <c r="D305" s="240"/>
      <c r="E305" s="240"/>
      <c r="F305" s="240"/>
      <c r="G305" s="241" t="str">
        <f>G296</f>
        <v>Variáveis</v>
      </c>
      <c r="H305" s="242"/>
      <c r="I305" s="242"/>
      <c r="J305" s="242"/>
      <c r="K305" s="243"/>
      <c r="L305" s="243"/>
      <c r="M305" s="244"/>
      <c r="N305" s="50"/>
    </row>
    <row r="306" spans="2:14">
      <c r="B306" s="23"/>
      <c r="C306" s="21"/>
      <c r="D306" s="12"/>
      <c r="E306" s="12"/>
      <c r="F306" s="22"/>
      <c r="G306" s="30"/>
      <c r="H306" s="12"/>
      <c r="I306" s="12"/>
      <c r="J306" s="12"/>
      <c r="K306" s="12"/>
      <c r="L306" s="12"/>
      <c r="M306" s="31"/>
      <c r="N306" s="50"/>
    </row>
    <row r="307" spans="2:14" ht="15">
      <c r="B307" s="23"/>
      <c r="C307" s="23"/>
      <c r="F307" s="24"/>
      <c r="G307" s="248" t="s">
        <v>88</v>
      </c>
      <c r="H307" s="251"/>
      <c r="I307" s="251"/>
      <c r="J307" s="251"/>
      <c r="K307" s="251"/>
      <c r="L307" s="38">
        <f>L298</f>
        <v>-58.31203963173985</v>
      </c>
      <c r="M307" s="29" t="str">
        <f>M299</f>
        <v xml:space="preserve"> °C</v>
      </c>
      <c r="N307" s="50"/>
    </row>
    <row r="308" spans="2:14" ht="15">
      <c r="B308" s="23"/>
      <c r="C308" s="23"/>
      <c r="F308" s="24"/>
      <c r="G308" s="248" t="s">
        <v>96</v>
      </c>
      <c r="H308" s="251"/>
      <c r="I308" s="251"/>
      <c r="J308" s="251"/>
      <c r="K308" s="251"/>
      <c r="L308" s="38">
        <f>F15</f>
        <v>10</v>
      </c>
      <c r="M308" s="29" t="s">
        <v>97</v>
      </c>
      <c r="N308" s="50"/>
    </row>
    <row r="309" spans="2:14" ht="15">
      <c r="B309" s="23"/>
      <c r="C309" s="23"/>
      <c r="F309" s="24"/>
      <c r="G309" s="248" t="s">
        <v>99</v>
      </c>
      <c r="H309" s="251"/>
      <c r="I309" s="251"/>
      <c r="J309" s="251"/>
      <c r="K309" s="251"/>
      <c r="L309" s="150">
        <f>COLUMN()</f>
        <v>12</v>
      </c>
      <c r="M309" s="29" t="s">
        <v>98</v>
      </c>
      <c r="N309" s="50"/>
    </row>
    <row r="310" spans="2:14" ht="15">
      <c r="B310" s="23"/>
      <c r="C310" s="23"/>
      <c r="F310" s="24"/>
      <c r="G310" s="248" t="s">
        <v>100</v>
      </c>
      <c r="H310" s="251"/>
      <c r="I310" s="251"/>
      <c r="J310" s="251"/>
      <c r="K310" s="251"/>
      <c r="L310" s="38">
        <v>1</v>
      </c>
      <c r="M310" s="29" t="s">
        <v>102</v>
      </c>
      <c r="N310" s="50"/>
    </row>
    <row r="311" spans="2:14" ht="15.75" thickBot="1">
      <c r="B311" s="23"/>
      <c r="C311" s="25"/>
      <c r="D311" s="26"/>
      <c r="E311" s="26"/>
      <c r="F311" s="27"/>
      <c r="G311" s="250"/>
      <c r="H311" s="252"/>
      <c r="I311" s="252"/>
      <c r="J311" s="252"/>
      <c r="K311" s="252"/>
      <c r="L311" s="32"/>
      <c r="M311" s="33"/>
      <c r="N311" s="50"/>
    </row>
    <row r="312" spans="2:14">
      <c r="B312" s="23"/>
      <c r="N312" s="50"/>
    </row>
    <row r="313" spans="2:14" ht="15">
      <c r="B313" s="23"/>
      <c r="K313" s="14" t="s">
        <v>101</v>
      </c>
      <c r="L313" s="39">
        <f>L307+((2*(L307+AP27))/((45700/((L308*1000)/L309)^2*L310)-1))</f>
        <v>-415.17221477402359</v>
      </c>
      <c r="M313" s="34" t="str">
        <f>M302</f>
        <v xml:space="preserve"> °C</v>
      </c>
      <c r="N313" s="50"/>
    </row>
    <row r="314" spans="2:14">
      <c r="B314" s="23"/>
      <c r="K314" s="14"/>
      <c r="L314" s="39"/>
      <c r="M314" s="34"/>
      <c r="N314" s="50"/>
    </row>
    <row r="315" spans="2:14" ht="15.75">
      <c r="B315" s="207" t="s">
        <v>70</v>
      </c>
      <c r="C315" s="208"/>
      <c r="D315" s="208"/>
      <c r="E315" s="208"/>
      <c r="F315" s="208"/>
      <c r="G315" s="208"/>
      <c r="H315" s="208"/>
      <c r="I315" s="208"/>
      <c r="J315" s="208"/>
      <c r="K315" s="208"/>
      <c r="L315" s="208"/>
      <c r="M315" s="208"/>
      <c r="N315" s="209"/>
    </row>
    <row r="316" spans="2:14">
      <c r="B316" s="23"/>
      <c r="N316" s="50"/>
    </row>
    <row r="317" spans="2:14">
      <c r="B317" s="23"/>
      <c r="N317" s="50"/>
    </row>
    <row r="318" spans="2:14">
      <c r="B318" s="23"/>
      <c r="N318" s="50"/>
    </row>
    <row r="319" spans="2:14">
      <c r="B319" s="23"/>
      <c r="N319" s="50"/>
    </row>
    <row r="320" spans="2:14" ht="15" thickBot="1">
      <c r="B320" s="23"/>
      <c r="N320" s="50"/>
    </row>
    <row r="321" spans="2:14" ht="15">
      <c r="B321" s="23"/>
      <c r="E321" s="261" t="s">
        <v>72</v>
      </c>
      <c r="F321" s="262"/>
      <c r="G321" s="262"/>
      <c r="H321" s="263"/>
      <c r="I321" s="263"/>
      <c r="J321" s="264"/>
      <c r="N321" s="50"/>
    </row>
    <row r="322" spans="2:14" ht="15">
      <c r="B322" s="23"/>
      <c r="E322" s="265" t="s">
        <v>71</v>
      </c>
      <c r="F322" s="266"/>
      <c r="G322" s="266"/>
      <c r="H322" s="266"/>
      <c r="I322" s="260" t="s">
        <v>95</v>
      </c>
      <c r="J322" s="206"/>
      <c r="N322" s="50"/>
    </row>
    <row r="323" spans="2:14" ht="15.75" thickBot="1">
      <c r="B323" s="23"/>
      <c r="E323" s="267" t="s">
        <v>85</v>
      </c>
      <c r="F323" s="268"/>
      <c r="G323" s="268"/>
      <c r="H323" s="268"/>
      <c r="I323" s="40">
        <f>L293</f>
        <v>-58.31203963173985</v>
      </c>
      <c r="J323" s="41" t="str">
        <f>M293</f>
        <v xml:space="preserve"> °C</v>
      </c>
      <c r="N323" s="50"/>
    </row>
    <row r="324" spans="2:14">
      <c r="B324" s="23"/>
      <c r="N324" s="50"/>
    </row>
    <row r="325" spans="2:14" ht="15">
      <c r="B325" s="377"/>
      <c r="C325" s="378" t="s">
        <v>74</v>
      </c>
      <c r="D325" s="378"/>
      <c r="E325" s="259">
        <f ca="1">TODAY()</f>
        <v>44938</v>
      </c>
      <c r="F325" s="259"/>
      <c r="N325" s="50"/>
    </row>
    <row r="326" spans="2:14" ht="15">
      <c r="B326" s="61"/>
      <c r="C326" s="60"/>
      <c r="D326" s="62"/>
      <c r="E326" s="63"/>
      <c r="N326" s="50"/>
    </row>
    <row r="327" spans="2:14" ht="15">
      <c r="B327" s="53"/>
      <c r="C327" s="42" t="s">
        <v>73</v>
      </c>
      <c r="D327" s="42"/>
      <c r="E327" s="42"/>
      <c r="J327" s="52" t="s">
        <v>93</v>
      </c>
      <c r="L327" s="42"/>
      <c r="M327" s="42"/>
      <c r="N327" s="54"/>
    </row>
    <row r="328" spans="2:14">
      <c r="B328" s="55"/>
      <c r="C328" s="42"/>
      <c r="D328" s="42"/>
      <c r="E328" s="42"/>
      <c r="K328" s="42"/>
      <c r="L328" s="42"/>
      <c r="M328" s="42"/>
      <c r="N328" s="54"/>
    </row>
    <row r="329" spans="2:14">
      <c r="B329" s="55"/>
      <c r="C329" s="42"/>
      <c r="D329" s="42"/>
      <c r="E329" s="42"/>
      <c r="K329" s="42"/>
      <c r="L329" s="42"/>
      <c r="M329" s="42"/>
      <c r="N329" s="54"/>
    </row>
    <row r="330" spans="2:14" ht="15">
      <c r="B330" s="53"/>
      <c r="C330" s="42"/>
      <c r="D330" s="42"/>
      <c r="E330" s="42"/>
      <c r="K330" s="52"/>
      <c r="L330" s="42"/>
      <c r="M330" s="42"/>
      <c r="N330" s="54"/>
    </row>
    <row r="331" spans="2:14" ht="15">
      <c r="B331" s="53"/>
      <c r="C331" s="42"/>
      <c r="D331" s="42"/>
      <c r="E331" s="42"/>
      <c r="I331" s="376"/>
      <c r="K331" s="52"/>
      <c r="L331" s="42"/>
      <c r="M331" s="42"/>
      <c r="N331" s="54"/>
    </row>
    <row r="332" spans="2:14" ht="15">
      <c r="B332" s="374"/>
      <c r="C332" s="256"/>
      <c r="D332" s="256"/>
      <c r="E332" s="257"/>
      <c r="F332" s="257"/>
      <c r="I332" s="375"/>
      <c r="J332" s="258"/>
      <c r="K332" s="258"/>
      <c r="L332" s="258"/>
      <c r="M332" s="258"/>
      <c r="N332" s="54"/>
    </row>
    <row r="333" spans="2:14">
      <c r="B333" s="55"/>
      <c r="C333" s="42"/>
      <c r="D333" s="42"/>
      <c r="E333" s="42"/>
      <c r="K333" s="42"/>
      <c r="L333" s="42"/>
      <c r="M333" s="42"/>
      <c r="N333" s="54"/>
    </row>
    <row r="334" spans="2:14">
      <c r="B334" s="253" t="s">
        <v>90</v>
      </c>
      <c r="C334" s="249"/>
      <c r="D334" s="249"/>
      <c r="E334" s="249"/>
      <c r="F334" s="249"/>
      <c r="G334" s="249"/>
      <c r="H334" s="249"/>
      <c r="I334" s="249"/>
      <c r="J334" s="249"/>
      <c r="K334" s="249"/>
      <c r="L334" s="249"/>
      <c r="M334" s="249"/>
      <c r="N334" s="254"/>
    </row>
    <row r="335" spans="2:14">
      <c r="B335" s="255"/>
      <c r="C335" s="249"/>
      <c r="D335" s="249"/>
      <c r="E335" s="249"/>
      <c r="F335" s="249"/>
      <c r="G335" s="249"/>
      <c r="H335" s="249"/>
      <c r="I335" s="249"/>
      <c r="J335" s="249"/>
      <c r="K335" s="249"/>
      <c r="L335" s="249"/>
      <c r="M335" s="249"/>
      <c r="N335" s="254"/>
    </row>
    <row r="336" spans="2:14" ht="15" thickBot="1">
      <c r="B336" s="56"/>
      <c r="C336" s="57"/>
      <c r="D336" s="57"/>
      <c r="E336" s="57"/>
      <c r="F336" s="57"/>
      <c r="G336" s="57"/>
      <c r="H336" s="57"/>
      <c r="I336" s="57"/>
      <c r="J336" s="26"/>
      <c r="K336" s="26"/>
      <c r="L336" s="26"/>
      <c r="M336" s="26"/>
      <c r="N336" s="58"/>
    </row>
  </sheetData>
  <mergeCells count="111">
    <mergeCell ref="G277:M277"/>
    <mergeCell ref="G280:K280"/>
    <mergeCell ref="G291:K291"/>
    <mergeCell ref="C285:M285"/>
    <mergeCell ref="C286:F286"/>
    <mergeCell ref="G286:M286"/>
    <mergeCell ref="G288:K288"/>
    <mergeCell ref="G289:K289"/>
    <mergeCell ref="D55:E56"/>
    <mergeCell ref="F55:L56"/>
    <mergeCell ref="G271:K271"/>
    <mergeCell ref="H243:I243"/>
    <mergeCell ref="H244:I244"/>
    <mergeCell ref="H245:I245"/>
    <mergeCell ref="G269:K269"/>
    <mergeCell ref="E252:K252"/>
    <mergeCell ref="B264:N264"/>
    <mergeCell ref="G270:K270"/>
    <mergeCell ref="B334:N335"/>
    <mergeCell ref="B332:F332"/>
    <mergeCell ref="I332:M332"/>
    <mergeCell ref="I322:J322"/>
    <mergeCell ref="E321:J321"/>
    <mergeCell ref="E322:H322"/>
    <mergeCell ref="E323:H323"/>
    <mergeCell ref="C325:D325"/>
    <mergeCell ref="E325:F325"/>
    <mergeCell ref="B315:N315"/>
    <mergeCell ref="C304:M304"/>
    <mergeCell ref="C305:F305"/>
    <mergeCell ref="G305:M305"/>
    <mergeCell ref="C295:M295"/>
    <mergeCell ref="C296:F296"/>
    <mergeCell ref="G296:M296"/>
    <mergeCell ref="C266:M266"/>
    <mergeCell ref="C267:F267"/>
    <mergeCell ref="G267:M267"/>
    <mergeCell ref="G281:K281"/>
    <mergeCell ref="G279:K279"/>
    <mergeCell ref="G272:K272"/>
    <mergeCell ref="G307:K307"/>
    <mergeCell ref="G308:K308"/>
    <mergeCell ref="G311:K311"/>
    <mergeCell ref="G309:K309"/>
    <mergeCell ref="G310:K310"/>
    <mergeCell ref="G298:K298"/>
    <mergeCell ref="G299:K299"/>
    <mergeCell ref="G300:K300"/>
    <mergeCell ref="G290:K290"/>
    <mergeCell ref="C276:M276"/>
    <mergeCell ref="C277:F277"/>
    <mergeCell ref="M17:N17"/>
    <mergeCell ref="B84:N84"/>
    <mergeCell ref="E210:K210"/>
    <mergeCell ref="B232:N232"/>
    <mergeCell ref="D47:E48"/>
    <mergeCell ref="F47:L48"/>
    <mergeCell ref="B32:N32"/>
    <mergeCell ref="D2:N4"/>
    <mergeCell ref="J86:L86"/>
    <mergeCell ref="D86:I86"/>
    <mergeCell ref="B39:N39"/>
    <mergeCell ref="C20:M28"/>
    <mergeCell ref="M16:N16"/>
    <mergeCell ref="E61:K61"/>
    <mergeCell ref="B5:C5"/>
    <mergeCell ref="B6:C6"/>
    <mergeCell ref="B7:C7"/>
    <mergeCell ref="B9:N9"/>
    <mergeCell ref="B18:N18"/>
    <mergeCell ref="D41:E42"/>
    <mergeCell ref="F41:L42"/>
    <mergeCell ref="D43:E44"/>
    <mergeCell ref="D57:E58"/>
    <mergeCell ref="F57:L58"/>
    <mergeCell ref="J34:J35"/>
    <mergeCell ref="J36:J37"/>
    <mergeCell ref="D53:E54"/>
    <mergeCell ref="F53:L54"/>
    <mergeCell ref="K36:K37"/>
    <mergeCell ref="K34:K35"/>
    <mergeCell ref="E34:I35"/>
    <mergeCell ref="E36:I37"/>
    <mergeCell ref="H246:I246"/>
    <mergeCell ref="G234:J234"/>
    <mergeCell ref="H242:I242"/>
    <mergeCell ref="H241:I241"/>
    <mergeCell ref="H240:I240"/>
    <mergeCell ref="H239:I239"/>
    <mergeCell ref="H238:I238"/>
    <mergeCell ref="H237:I237"/>
    <mergeCell ref="H236:I236"/>
    <mergeCell ref="H235:I235"/>
    <mergeCell ref="D49:E50"/>
    <mergeCell ref="F49:L50"/>
    <mergeCell ref="D51:E52"/>
    <mergeCell ref="F51:L52"/>
    <mergeCell ref="F43:L44"/>
    <mergeCell ref="D45:E46"/>
    <mergeCell ref="F45:L46"/>
    <mergeCell ref="P2:X2"/>
    <mergeCell ref="P3:U3"/>
    <mergeCell ref="V3:X3"/>
    <mergeCell ref="H247:I247"/>
    <mergeCell ref="H248:I248"/>
    <mergeCell ref="H249:I249"/>
    <mergeCell ref="H250:I250"/>
    <mergeCell ref="V236:AC236"/>
    <mergeCell ref="P54:X54"/>
    <mergeCell ref="P55:U55"/>
    <mergeCell ref="V55:X55"/>
  </mergeCells>
  <phoneticPr fontId="30" type="noConversion"/>
  <conditionalFormatting sqref="Q57:X57">
    <cfRule type="expression" dxfId="9" priority="17">
      <formula>$E$92&lt;1</formula>
    </cfRule>
  </conditionalFormatting>
  <conditionalFormatting sqref="Q58:U58 V58:X66">
    <cfRule type="expression" dxfId="8" priority="16">
      <formula>$E$96&lt;1</formula>
    </cfRule>
  </conditionalFormatting>
  <conditionalFormatting sqref="Q59:U66">
    <cfRule type="expression" dxfId="7" priority="15">
      <formula>$E$100&lt;1</formula>
    </cfRule>
  </conditionalFormatting>
  <conditionalFormatting sqref="Q5:X24">
    <cfRule type="cellIs" dxfId="6" priority="2" operator="lessThan">
      <formula>1</formula>
    </cfRule>
  </conditionalFormatting>
  <conditionalFormatting sqref="Q57:X66">
    <cfRule type="cellIs" dxfId="5" priority="1" operator="lessThan">
      <formula>1</formula>
    </cfRule>
  </conditionalFormatting>
  <pageMargins left="0.51181102362204722" right="0.51181102362204722" top="0.78740157480314965" bottom="0.78740157480314965" header="0.31496062992125984" footer="0.31496062992125984"/>
  <pageSetup paperSize="9" fitToHeight="0" orientation="portrait" r:id="rId1"/>
  <headerFooter>
    <oddFooter>Página &amp;P de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0B3A9-CD0A-4FC6-BCB4-C65DE3654B50}">
  <sheetPr codeName="Planilha5">
    <pageSetUpPr fitToPage="1"/>
  </sheetPr>
  <dimension ref="B1:BL336"/>
  <sheetViews>
    <sheetView zoomScale="70" zoomScaleNormal="70" workbookViewId="0">
      <selection activeCell="U23" sqref="U23"/>
    </sheetView>
  </sheetViews>
  <sheetFormatPr defaultColWidth="9.140625" defaultRowHeight="14.25"/>
  <cols>
    <col min="1" max="1" width="9.7109375" style="13" customWidth="1"/>
    <col min="2" max="2" width="12.7109375" style="13" customWidth="1"/>
    <col min="3" max="12" width="9.7109375" style="13" customWidth="1"/>
    <col min="13" max="13" width="11" style="13" customWidth="1"/>
    <col min="14" max="22" width="10.140625" style="13" customWidth="1"/>
    <col min="23" max="23" width="9.7109375" style="141" customWidth="1"/>
    <col min="24" max="24" width="8.28515625" style="141" customWidth="1"/>
    <col min="25" max="33" width="8.28515625" style="13" customWidth="1"/>
    <col min="34" max="34" width="7.42578125" style="13" bestFit="1" customWidth="1"/>
    <col min="35" max="35" width="8.28515625" style="13" customWidth="1"/>
    <col min="36" max="36" width="9.85546875" style="13" bestFit="1" customWidth="1"/>
    <col min="37" max="37" width="8.28515625" style="13" customWidth="1"/>
    <col min="38" max="16384" width="9.140625" style="13"/>
  </cols>
  <sheetData>
    <row r="1" spans="2:64" ht="14.1" customHeight="1" thickBot="1">
      <c r="X1" s="13"/>
      <c r="BB1" s="141"/>
      <c r="BC1" s="141"/>
    </row>
    <row r="2" spans="2:64" ht="14.1" customHeight="1">
      <c r="B2" s="43" t="s">
        <v>18</v>
      </c>
      <c r="C2" s="44"/>
      <c r="D2" s="212" t="s">
        <v>53</v>
      </c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  <c r="Q2" s="212"/>
      <c r="R2" s="212"/>
      <c r="S2" s="212"/>
      <c r="T2" s="212"/>
      <c r="U2" s="212"/>
      <c r="V2" s="351"/>
      <c r="X2" s="317" t="s">
        <v>112</v>
      </c>
      <c r="Y2" s="318"/>
      <c r="Z2" s="318"/>
      <c r="AA2" s="318"/>
      <c r="AB2" s="318"/>
      <c r="AC2" s="318"/>
      <c r="AD2" s="318"/>
      <c r="AE2" s="318"/>
      <c r="AF2" s="318"/>
      <c r="AG2" s="318"/>
      <c r="AH2" s="318"/>
      <c r="AI2" s="318"/>
      <c r="AJ2" s="318"/>
      <c r="AK2" s="318"/>
      <c r="AL2" s="318"/>
      <c r="AM2" s="318"/>
      <c r="AN2" s="319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</row>
    <row r="3" spans="2:64" ht="14.1" customHeight="1">
      <c r="B3" s="45"/>
      <c r="C3" s="18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2"/>
      <c r="R3" s="352"/>
      <c r="S3" s="352"/>
      <c r="T3" s="352"/>
      <c r="U3" s="352"/>
      <c r="V3" s="353"/>
      <c r="X3" s="317" t="s">
        <v>2</v>
      </c>
      <c r="Y3" s="318"/>
      <c r="Z3" s="318"/>
      <c r="AA3" s="318"/>
      <c r="AB3" s="318"/>
      <c r="AC3" s="318"/>
      <c r="AD3" s="318"/>
      <c r="AE3" s="318"/>
      <c r="AF3" s="318"/>
      <c r="AG3" s="318"/>
      <c r="AH3" s="318"/>
      <c r="AI3" s="318"/>
      <c r="AJ3" s="318"/>
      <c r="AK3" s="319"/>
      <c r="AL3" s="170" t="s">
        <v>0</v>
      </c>
      <c r="AM3" s="170"/>
      <c r="AN3" s="320"/>
      <c r="BB3" s="141"/>
      <c r="BC3" s="141"/>
      <c r="BD3" s="141"/>
      <c r="BE3" s="141"/>
      <c r="BF3" s="141"/>
      <c r="BG3" s="141"/>
      <c r="BH3" s="141"/>
      <c r="BI3" s="141"/>
      <c r="BJ3" s="141"/>
      <c r="BK3" s="141"/>
      <c r="BL3" s="141"/>
    </row>
    <row r="4" spans="2:64" ht="14.1" customHeight="1">
      <c r="B4" s="45"/>
      <c r="C4" s="18"/>
      <c r="D4" s="352"/>
      <c r="E4" s="352"/>
      <c r="F4" s="352"/>
      <c r="G4" s="352"/>
      <c r="H4" s="352"/>
      <c r="I4" s="352"/>
      <c r="J4" s="352"/>
      <c r="K4" s="352"/>
      <c r="L4" s="352"/>
      <c r="M4" s="352"/>
      <c r="N4" s="352"/>
      <c r="O4" s="352"/>
      <c r="P4" s="352"/>
      <c r="Q4" s="352"/>
      <c r="R4" s="352"/>
      <c r="S4" s="352"/>
      <c r="T4" s="352"/>
      <c r="U4" s="352"/>
      <c r="V4" s="353"/>
      <c r="X4" s="36" t="s">
        <v>1</v>
      </c>
      <c r="Y4" s="17" t="s">
        <v>3</v>
      </c>
      <c r="Z4" s="17" t="s">
        <v>4</v>
      </c>
      <c r="AA4" s="17" t="s">
        <v>5</v>
      </c>
      <c r="AB4" s="17" t="s">
        <v>6</v>
      </c>
      <c r="AC4" s="17" t="s">
        <v>7</v>
      </c>
      <c r="AD4" s="17" t="s">
        <v>137</v>
      </c>
      <c r="AE4" s="17" t="s">
        <v>138</v>
      </c>
      <c r="AF4" s="17" t="s">
        <v>139</v>
      </c>
      <c r="AG4" s="17" t="s">
        <v>140</v>
      </c>
      <c r="AH4" s="17" t="s">
        <v>141</v>
      </c>
      <c r="AI4" s="17" t="s">
        <v>142</v>
      </c>
      <c r="AJ4" s="17" t="s">
        <v>143</v>
      </c>
      <c r="AK4" s="17" t="s">
        <v>144</v>
      </c>
      <c r="AL4" s="17" t="s">
        <v>8</v>
      </c>
      <c r="AM4" s="17" t="s">
        <v>9</v>
      </c>
      <c r="AN4" s="17" t="s">
        <v>10</v>
      </c>
      <c r="BB4" s="141"/>
      <c r="BC4" s="141"/>
      <c r="BD4" s="141">
        <v>33.5</v>
      </c>
      <c r="BE4" s="141"/>
      <c r="BF4" s="141"/>
      <c r="BG4" s="141"/>
      <c r="BH4" s="141"/>
      <c r="BI4" s="141"/>
      <c r="BJ4" s="141"/>
      <c r="BK4" s="141"/>
      <c r="BL4" s="141"/>
    </row>
    <row r="5" spans="2:64" ht="18.75">
      <c r="B5" s="80"/>
      <c r="C5" s="81"/>
      <c r="D5" s="81"/>
      <c r="E5" s="81"/>
      <c r="F5" s="366" t="s">
        <v>19</v>
      </c>
      <c r="G5" s="367"/>
      <c r="H5" s="82">
        <f>COLUMN()</f>
        <v>8</v>
      </c>
      <c r="I5" s="81"/>
      <c r="J5" s="82"/>
      <c r="K5" s="81"/>
      <c r="L5" s="83" t="s">
        <v>20</v>
      </c>
      <c r="M5" s="82">
        <f>COLUMN()</f>
        <v>13</v>
      </c>
      <c r="N5" s="81"/>
      <c r="O5" s="81"/>
      <c r="P5" s="83"/>
      <c r="Q5" s="83" t="s">
        <v>113</v>
      </c>
      <c r="R5" s="82">
        <f>COLUMN()</f>
        <v>18</v>
      </c>
      <c r="S5" s="82"/>
      <c r="T5" s="82"/>
      <c r="U5" s="82"/>
      <c r="V5" s="84"/>
      <c r="X5" s="16" t="s">
        <v>106</v>
      </c>
      <c r="Y5" s="372">
        <f>MEDIAN(E88:E94)-E88-(MEDIAN($R$88:$T$94)-MEDIAN($R$88:$T$88))</f>
        <v>0</v>
      </c>
      <c r="Z5" s="372">
        <f>MEDIAN(F88:F94)-F88-(MEDIAN($R$88:$T$94)-MEDIAN($R$88:$T$88))</f>
        <v>0</v>
      </c>
      <c r="AA5" s="372">
        <f>MEDIAN(G88:G94)-G88-(MEDIAN($R$88:$T$94)-MEDIAN($R$88:$T$88))</f>
        <v>0</v>
      </c>
      <c r="AB5" s="372">
        <f>MEDIAN(H88:H94)-H88-(MEDIAN($R$88:$T$94)-MEDIAN($R$88:$T$88))</f>
        <v>0</v>
      </c>
      <c r="AC5" s="372">
        <f>MEDIAN(I88:I94)-I88-(MEDIAN($R$88:$T$94)-MEDIAN($R$88:$T$88))</f>
        <v>0</v>
      </c>
      <c r="AD5" s="372">
        <f>MEDIAN(J88:J94)-J88-(MEDIAN($R$88:$T$94)-MEDIAN($R$88:$T$88))</f>
        <v>0</v>
      </c>
      <c r="AE5" s="372">
        <f>MEDIAN(K88:K94)-K88-(MEDIAN($R$88:$T$94)-MEDIAN($R$88:$T$88))</f>
        <v>0</v>
      </c>
      <c r="AF5" s="372">
        <f>MEDIAN(L88:L94)-L88-(MEDIAN($R$88:$T$94)-MEDIAN($R$88:$T$88))</f>
        <v>0</v>
      </c>
      <c r="AG5" s="372">
        <f>MEDIAN(M88:M94)-M88-(MEDIAN($R$88:$T$94)-MEDIAN($R$88:$T$88))</f>
        <v>0</v>
      </c>
      <c r="AH5" s="372">
        <f>MEDIAN(N88:N94)-N88-(MEDIAN($R$88:$T$94)-MEDIAN($R$88:$T$88))</f>
        <v>0</v>
      </c>
      <c r="AI5" s="372">
        <f>MEDIAN(O88:O94)-O88-(MEDIAN($R$88:$T$94)-MEDIAN($R$88:$T$88))</f>
        <v>0</v>
      </c>
      <c r="AJ5" s="372">
        <f>MEDIAN(P88:P94)-P88-(MEDIAN($R$88:$T$94)-MEDIAN($R$88:$T$88))</f>
        <v>0</v>
      </c>
      <c r="AK5" s="372">
        <f>MEDIAN(Q88:Q94)-Q88-(MEDIAN($R$88:$T$94)-MEDIAN($R$88:$T$88))</f>
        <v>0</v>
      </c>
      <c r="AL5" s="372">
        <f>MEDIAN(R88:R94)-R88</f>
        <v>3</v>
      </c>
      <c r="AM5" s="372">
        <f>MEDIAN(S88:S94)-S88</f>
        <v>3</v>
      </c>
      <c r="AN5" s="372">
        <f>MEDIAN(T88:T94)-T88</f>
        <v>3</v>
      </c>
      <c r="BB5" s="144"/>
      <c r="BC5" s="144"/>
      <c r="BD5" s="144"/>
      <c r="BE5" s="144"/>
      <c r="BF5" s="141"/>
      <c r="BG5" s="141"/>
      <c r="BH5" s="141">
        <f>BD4*1.1</f>
        <v>36.85</v>
      </c>
      <c r="BI5" s="141"/>
      <c r="BJ5" s="141"/>
      <c r="BK5" s="141"/>
      <c r="BL5" s="141"/>
    </row>
    <row r="6" spans="2:64" ht="18.75">
      <c r="B6" s="85"/>
      <c r="C6" s="86"/>
      <c r="D6" s="86"/>
      <c r="E6" s="86"/>
      <c r="F6" s="368" t="s">
        <v>21</v>
      </c>
      <c r="G6" s="369"/>
      <c r="H6" s="137" t="s">
        <v>75</v>
      </c>
      <c r="I6" s="86"/>
      <c r="J6" s="87"/>
      <c r="K6" s="86"/>
      <c r="L6" s="88" t="s">
        <v>22</v>
      </c>
      <c r="M6" s="137" t="s">
        <v>77</v>
      </c>
      <c r="N6" s="86"/>
      <c r="O6" s="86"/>
      <c r="P6" s="89"/>
      <c r="Q6" s="88" t="s">
        <v>23</v>
      </c>
      <c r="R6" s="87">
        <v>1</v>
      </c>
      <c r="S6" s="87"/>
      <c r="T6" s="87"/>
      <c r="U6" s="87"/>
      <c r="V6" s="90"/>
      <c r="X6" s="16" t="s">
        <v>107</v>
      </c>
      <c r="Y6" s="372">
        <f>MEDIAN(E94:E100)-E94-(MEDIAN($R$94:$T$100)-MEDIAN($R$94:$T$94))</f>
        <v>0</v>
      </c>
      <c r="Z6" s="372">
        <f>MEDIAN(F94:F100)-F94-(MEDIAN($R$94:$T$100)-MEDIAN($R$94:$T$94))</f>
        <v>0</v>
      </c>
      <c r="AA6" s="372">
        <f>MEDIAN(G94:G100)-G94-(MEDIAN($R$94:$T$100)-MEDIAN($R$94:$T$94))</f>
        <v>0</v>
      </c>
      <c r="AB6" s="372">
        <f>MEDIAN(H94:H100)-H94-(MEDIAN($R$94:$T$100)-MEDIAN($R$94:$T$94))</f>
        <v>0</v>
      </c>
      <c r="AC6" s="372">
        <f>MEDIAN(I94:I100)-I94-(MEDIAN($R$94:$T$100)-MEDIAN($R$94:$T$94))</f>
        <v>0</v>
      </c>
      <c r="AD6" s="372">
        <f>MEDIAN(J94:J100)-J94-(MEDIAN($R$94:$T$100)-MEDIAN($R$94:$T$94))</f>
        <v>0</v>
      </c>
      <c r="AE6" s="372">
        <f>MEDIAN(K94:K100)-K94-(MEDIAN($R$94:$T$100)-MEDIAN($R$94:$T$94))</f>
        <v>0</v>
      </c>
      <c r="AF6" s="372">
        <f>MEDIAN(L94:L100)-L94-(MEDIAN($R$94:$T$100)-MEDIAN($R$94:$T$94))</f>
        <v>0</v>
      </c>
      <c r="AG6" s="372">
        <f>MEDIAN(M94:M100)-M94-(MEDIAN($R$94:$T$100)-MEDIAN($R$94:$T$94))</f>
        <v>0</v>
      </c>
      <c r="AH6" s="372">
        <f>MEDIAN(N94:N100)-N94-(MEDIAN($R$94:$T$100)-MEDIAN($R$94:$T$94))</f>
        <v>0</v>
      </c>
      <c r="AI6" s="372">
        <f>MEDIAN(O94:O100)-O94-(MEDIAN($R$94:$T$100)-MEDIAN($R$94:$T$94))</f>
        <v>0</v>
      </c>
      <c r="AJ6" s="372">
        <f>MEDIAN(P94:P100)-P94-(MEDIAN($R$94:$T$100)-MEDIAN($R$94:$T$94))</f>
        <v>0</v>
      </c>
      <c r="AK6" s="372">
        <f>MEDIAN(Q94:Q100)-Q94-(MEDIAN($R$94:$T$100)-MEDIAN($R$94:$T$94))</f>
        <v>0</v>
      </c>
      <c r="AL6" s="372">
        <f>MEDIAN(R94:R100)-R94</f>
        <v>3</v>
      </c>
      <c r="AM6" s="372">
        <f>MEDIAN(S94:S100)-S94</f>
        <v>3</v>
      </c>
      <c r="AN6" s="372">
        <f>MEDIAN(T94:T100)-T94</f>
        <v>3</v>
      </c>
      <c r="BB6" s="144"/>
      <c r="BC6" s="144"/>
      <c r="BD6" s="144"/>
      <c r="BE6" s="144"/>
      <c r="BF6" s="141"/>
      <c r="BG6" s="141"/>
      <c r="BH6" s="141"/>
      <c r="BI6" s="141"/>
      <c r="BJ6" s="141"/>
      <c r="BK6" s="141"/>
      <c r="BL6" s="141"/>
    </row>
    <row r="7" spans="2:64" ht="18.75">
      <c r="B7" s="85"/>
      <c r="C7" s="86"/>
      <c r="D7" s="86"/>
      <c r="E7" s="86"/>
      <c r="F7" s="368" t="s">
        <v>24</v>
      </c>
      <c r="G7" s="369"/>
      <c r="H7" s="87" t="s">
        <v>136</v>
      </c>
      <c r="I7" s="86"/>
      <c r="J7" s="89"/>
      <c r="K7" s="86"/>
      <c r="L7" s="91" t="s">
        <v>25</v>
      </c>
      <c r="M7" s="87" t="s">
        <v>76</v>
      </c>
      <c r="N7" s="86"/>
      <c r="O7" s="86"/>
      <c r="P7" s="89"/>
      <c r="Q7" s="88" t="s">
        <v>26</v>
      </c>
      <c r="R7" s="92">
        <v>19035</v>
      </c>
      <c r="S7" s="92"/>
      <c r="T7" s="92"/>
      <c r="U7" s="92"/>
      <c r="V7" s="93"/>
      <c r="X7" s="16" t="s">
        <v>108</v>
      </c>
      <c r="Y7" s="372">
        <f>MEDIAN(E100:E106)-E100-(MEDIAN($R$100:$T$106)-MEDIAN($R$100:$T$100))</f>
        <v>0</v>
      </c>
      <c r="Z7" s="372">
        <f>MEDIAN(F100:F106)-F100-(MEDIAN($R$100:$T$106)-MEDIAN($R$100:$T$100))</f>
        <v>0</v>
      </c>
      <c r="AA7" s="372">
        <f>MEDIAN(G100:G106)-G100-(MEDIAN($R$100:$T$106)-MEDIAN($R$100:$T$100))</f>
        <v>0</v>
      </c>
      <c r="AB7" s="372">
        <f>MEDIAN(H100:H106)-H100-(MEDIAN($R$100:$T$106)-MEDIAN($R$100:$T$100))</f>
        <v>0</v>
      </c>
      <c r="AC7" s="372">
        <f>MEDIAN(I100:I106)-I100-(MEDIAN($R$100:$T$106)-MEDIAN($R$100:$T$100))</f>
        <v>0</v>
      </c>
      <c r="AD7" s="372">
        <f>MEDIAN(J100:J106)-J100-(MEDIAN($R$100:$T$106)-MEDIAN($R$100:$T$100))</f>
        <v>0</v>
      </c>
      <c r="AE7" s="372">
        <f>MEDIAN(K100:K106)-K100-(MEDIAN($R$100:$T$106)-MEDIAN($R$100:$T$100))</f>
        <v>0</v>
      </c>
      <c r="AF7" s="372">
        <f>MEDIAN(L100:L106)-L100-(MEDIAN($R$100:$T$106)-MEDIAN($R$100:$T$100))</f>
        <v>0</v>
      </c>
      <c r="AG7" s="372">
        <f>MEDIAN(M100:M106)-M100-(MEDIAN($R$100:$T$106)-MEDIAN($R$100:$T$100))</f>
        <v>0</v>
      </c>
      <c r="AH7" s="372">
        <f>MEDIAN(N100:N106)-N100-(MEDIAN($R$100:$T$106)-MEDIAN($R$100:$T$100))</f>
        <v>0</v>
      </c>
      <c r="AI7" s="372">
        <f>MEDIAN(O100:O106)-O100-(MEDIAN($R$100:$T$106)-MEDIAN($R$100:$T$100))</f>
        <v>0</v>
      </c>
      <c r="AJ7" s="372">
        <f>MEDIAN(P100:P106)-P100-(MEDIAN($R$100:$T$106)-MEDIAN($R$100:$T$100))</f>
        <v>0</v>
      </c>
      <c r="AK7" s="372">
        <f>MEDIAN(Q100:Q106)-Q100-(MEDIAN($R$100:$T$106)-MEDIAN($R$100:$T$100))</f>
        <v>0</v>
      </c>
      <c r="AL7" s="372">
        <f>MEDIAN(R100:R106)-R100</f>
        <v>3</v>
      </c>
      <c r="AM7" s="372">
        <f>MEDIAN(S100:S106)-S100</f>
        <v>3</v>
      </c>
      <c r="AN7" s="372">
        <f>MEDIAN(T100:T106)-T100</f>
        <v>3</v>
      </c>
      <c r="BB7" s="145"/>
      <c r="BC7" s="145"/>
      <c r="BD7" s="145"/>
      <c r="BE7" s="145"/>
      <c r="BF7" s="141"/>
      <c r="BG7" s="141"/>
      <c r="BH7" s="141"/>
      <c r="BI7" s="141"/>
      <c r="BJ7" s="141"/>
      <c r="BK7" s="141"/>
      <c r="BL7" s="141"/>
    </row>
    <row r="8" spans="2:64" ht="14.1" customHeight="1">
      <c r="B8" s="94"/>
      <c r="C8" s="77"/>
      <c r="D8" s="95"/>
      <c r="E8" s="95"/>
      <c r="F8" s="95"/>
      <c r="G8" s="95"/>
      <c r="H8" s="95"/>
      <c r="I8" s="95"/>
      <c r="J8" s="95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96"/>
      <c r="X8" s="16" t="s">
        <v>110</v>
      </c>
      <c r="Y8" s="372">
        <f>MEDIAN(E106:E112)-E106-(MEDIAN($R$106:$T$112)-MEDIAN($R$106:$T$106))</f>
        <v>0</v>
      </c>
      <c r="Z8" s="372">
        <f>MEDIAN(F106:F112)-F106-(MEDIAN($R$106:$T$112)-MEDIAN($R$106:$T$106))</f>
        <v>0</v>
      </c>
      <c r="AA8" s="372">
        <f>MEDIAN(G106:G112)-G106-(MEDIAN($R$106:$T$112)-MEDIAN($R$106:$T$106))</f>
        <v>0</v>
      </c>
      <c r="AB8" s="372">
        <f>MEDIAN(H106:H112)-H106-(MEDIAN($R$106:$T$112)-MEDIAN($R$106:$T$106))</f>
        <v>0</v>
      </c>
      <c r="AC8" s="372">
        <f>MEDIAN(I106:I112)-I106-(MEDIAN($R$106:$T$112)-MEDIAN($R$106:$T$106))</f>
        <v>0</v>
      </c>
      <c r="AD8" s="372">
        <f>MEDIAN(J106:J112)-J106-(MEDIAN($R$106:$T$112)-MEDIAN($R$106:$T$106))</f>
        <v>0</v>
      </c>
      <c r="AE8" s="372">
        <f>MEDIAN(K106:K112)-K106-(MEDIAN($R$106:$T$112)-MEDIAN($R$106:$T$106))</f>
        <v>0</v>
      </c>
      <c r="AF8" s="372">
        <f>MEDIAN(L106:L112)-L106-(MEDIAN($R$106:$T$112)-MEDIAN($R$106:$T$106))</f>
        <v>0</v>
      </c>
      <c r="AG8" s="372">
        <f>MEDIAN(M106:M112)-M106-(MEDIAN($R$106:$T$112)-MEDIAN($R$106:$T$106))</f>
        <v>0</v>
      </c>
      <c r="AH8" s="372">
        <f>MEDIAN(N106:N112)-N106-(MEDIAN($R$106:$T$112)-MEDIAN($R$106:$T$106))</f>
        <v>0</v>
      </c>
      <c r="AI8" s="372">
        <f>MEDIAN(O106:O112)-O106-(MEDIAN($R$106:$T$112)-MEDIAN($R$106:$T$106))</f>
        <v>0</v>
      </c>
      <c r="AJ8" s="372">
        <f>MEDIAN(P106:P112)-P106-(MEDIAN($R$106:$T$112)-MEDIAN($R$106:$T$106))</f>
        <v>0</v>
      </c>
      <c r="AK8" s="372">
        <f>MEDIAN(Q106:Q112)-Q106-(MEDIAN($R$106:$T$112)-MEDIAN($R$106:$T$106))</f>
        <v>0</v>
      </c>
      <c r="AL8" s="372">
        <f>MEDIAN(R106:R112)-R106</f>
        <v>3</v>
      </c>
      <c r="AM8" s="372">
        <f>MEDIAN(S106:S112)-S106</f>
        <v>3</v>
      </c>
      <c r="AN8" s="372">
        <f>MEDIAN(T106:T112)-T106</f>
        <v>3</v>
      </c>
      <c r="BB8" s="141"/>
      <c r="BC8" s="141"/>
      <c r="BD8" s="141"/>
      <c r="BE8" s="141"/>
      <c r="BF8" s="141"/>
      <c r="BG8" s="141"/>
      <c r="BH8" s="141"/>
      <c r="BI8" s="141"/>
      <c r="BJ8" s="141"/>
      <c r="BK8" s="141"/>
      <c r="BL8" s="141"/>
    </row>
    <row r="9" spans="2:64" ht="18">
      <c r="B9" s="289" t="s">
        <v>27</v>
      </c>
      <c r="C9" s="290"/>
      <c r="D9" s="290"/>
      <c r="E9" s="290"/>
      <c r="F9" s="290"/>
      <c r="G9" s="290"/>
      <c r="H9" s="290"/>
      <c r="I9" s="290"/>
      <c r="J9" s="290"/>
      <c r="K9" s="290"/>
      <c r="L9" s="290"/>
      <c r="M9" s="290"/>
      <c r="N9" s="290"/>
      <c r="O9" s="290"/>
      <c r="P9" s="290"/>
      <c r="Q9" s="290"/>
      <c r="R9" s="290"/>
      <c r="S9" s="290"/>
      <c r="T9" s="290"/>
      <c r="U9" s="290"/>
      <c r="V9" s="291"/>
      <c r="X9" s="16" t="s">
        <v>111</v>
      </c>
      <c r="Y9" s="372">
        <f>MEDIAN(E112:E118)-E112-(MEDIAN($R$112:$T$118)-MEDIAN($R$112:$T$112))</f>
        <v>0</v>
      </c>
      <c r="Z9" s="372">
        <f>MEDIAN(F112:F118)-F112-(MEDIAN($R$112:$T$118)-MEDIAN($R$112:$T$112))</f>
        <v>0</v>
      </c>
      <c r="AA9" s="372">
        <f>MEDIAN(G112:G118)-G112-(MEDIAN($R$112:$T$118)-MEDIAN($R$112:$T$112))</f>
        <v>0</v>
      </c>
      <c r="AB9" s="372">
        <f>MEDIAN(H112:H118)-H112-(MEDIAN($R$112:$T$118)-MEDIAN($R$112:$T$112))</f>
        <v>0</v>
      </c>
      <c r="AC9" s="372">
        <f>MEDIAN(I112:I118)-I112-(MEDIAN($R$112:$T$118)-MEDIAN($R$112:$T$112))</f>
        <v>0</v>
      </c>
      <c r="AD9" s="372">
        <f>MEDIAN(J112:J118)-J112-(MEDIAN($R$112:$T$118)-MEDIAN($R$112:$T$112))</f>
        <v>0</v>
      </c>
      <c r="AE9" s="372">
        <f>MEDIAN(K112:K118)-K112-(MEDIAN($R$112:$T$118)-MEDIAN($R$112:$T$112))</f>
        <v>0</v>
      </c>
      <c r="AF9" s="372">
        <f>MEDIAN(L112:L118)-L112-(MEDIAN($R$112:$T$118)-MEDIAN($R$112:$T$112))</f>
        <v>0</v>
      </c>
      <c r="AG9" s="372">
        <f>MEDIAN(M112:M118)-M112-(MEDIAN($R$112:$T$118)-MEDIAN($R$112:$T$112))</f>
        <v>0</v>
      </c>
      <c r="AH9" s="372">
        <f>MEDIAN(N112:N118)-N112-(MEDIAN($R$112:$T$118)-MEDIAN($R$112:$T$112))</f>
        <v>0</v>
      </c>
      <c r="AI9" s="372">
        <f>MEDIAN(O112:O118)-O112-(MEDIAN($R$112:$T$118)-MEDIAN($R$112:$T$112))</f>
        <v>0</v>
      </c>
      <c r="AJ9" s="372">
        <f>MEDIAN(P112:P118)-P112-(MEDIAN($R$112:$T$118)-MEDIAN($R$112:$T$112))</f>
        <v>0</v>
      </c>
      <c r="AK9" s="372">
        <f>MEDIAN(Q112:Q118)-Q112-(MEDIAN($R$112:$T$118)-MEDIAN($R$112:$T$112))</f>
        <v>0</v>
      </c>
      <c r="AL9" s="372">
        <f>MEDIAN(R112:R118)-R112</f>
        <v>3</v>
      </c>
      <c r="AM9" s="372">
        <f>MEDIAN(S112:S118)-S112</f>
        <v>3</v>
      </c>
      <c r="AN9" s="372">
        <f>MEDIAN(T112:T118)-T112</f>
        <v>3</v>
      </c>
      <c r="BB9" s="141"/>
      <c r="BC9" s="141"/>
    </row>
    <row r="10" spans="2:64" ht="14.1" customHeight="1">
      <c r="B10" s="97"/>
      <c r="C10" s="77"/>
      <c r="D10" s="77"/>
      <c r="E10" s="76"/>
      <c r="F10" s="76"/>
      <c r="G10" s="76"/>
      <c r="H10" s="76"/>
      <c r="I10" s="76"/>
      <c r="J10" s="76"/>
      <c r="K10" s="76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96"/>
      <c r="X10" s="16" t="s">
        <v>109</v>
      </c>
      <c r="Y10" s="372">
        <f>MEDIAN(E118:E124)-E118-(MEDIAN($R$118:$T$124)-MEDIAN($R$118:$T$118))</f>
        <v>0</v>
      </c>
      <c r="Z10" s="372">
        <f>MEDIAN(F118:F124)-F118-(MEDIAN($R$118:$T$124)-MEDIAN($R$118:$T$118))</f>
        <v>0</v>
      </c>
      <c r="AA10" s="372">
        <f>MEDIAN(G118:G124)-G118-(MEDIAN($R$118:$T$124)-MEDIAN($R$118:$T$118))</f>
        <v>0</v>
      </c>
      <c r="AB10" s="372">
        <f>MEDIAN(H118:H124)-H118-(MEDIAN($R$118:$T$124)-MEDIAN($R$118:$T$118))</f>
        <v>0</v>
      </c>
      <c r="AC10" s="372">
        <f>MEDIAN(I118:I124)-I118-(MEDIAN($R$118:$T$124)-MEDIAN($R$118:$T$118))</f>
        <v>0</v>
      </c>
      <c r="AD10" s="372">
        <f>MEDIAN(J118:J124)-J118-(MEDIAN($R$118:$T$124)-MEDIAN($R$118:$T$118))</f>
        <v>0</v>
      </c>
      <c r="AE10" s="372">
        <f>MEDIAN(K118:K124)-K118-(MEDIAN($R$118:$T$124)-MEDIAN($R$118:$T$118))</f>
        <v>0</v>
      </c>
      <c r="AF10" s="372">
        <f>MEDIAN(L118:L124)-L118-(MEDIAN($R$118:$T$124)-MEDIAN($R$118:$T$118))</f>
        <v>0</v>
      </c>
      <c r="AG10" s="372">
        <f>MEDIAN(M118:M124)-M118-(MEDIAN($R$118:$T$124)-MEDIAN($R$118:$T$118))</f>
        <v>0</v>
      </c>
      <c r="AH10" s="372">
        <f>MEDIAN(N118:N124)-N118-(MEDIAN($R$118:$T$124)-MEDIAN($R$118:$T$118))</f>
        <v>0</v>
      </c>
      <c r="AI10" s="372">
        <f>MEDIAN(O118:O124)-O118-(MEDIAN($R$118:$T$124)-MEDIAN($R$118:$T$118))</f>
        <v>0</v>
      </c>
      <c r="AJ10" s="372">
        <f>MEDIAN(P118:P124)-P118-(MEDIAN($R$118:$T$124)-MEDIAN($R$118:$T$118))</f>
        <v>0</v>
      </c>
      <c r="AK10" s="372">
        <f>MEDIAN(Q118:Q124)-Q118-(MEDIAN($R$118:$T$124)-MEDIAN($R$118:$T$118))</f>
        <v>0</v>
      </c>
      <c r="AL10" s="372">
        <f>MEDIAN(R118:R124)-R118</f>
        <v>3</v>
      </c>
      <c r="AM10" s="372">
        <f>MEDIAN(S118:S124)-S118</f>
        <v>3</v>
      </c>
      <c r="AN10" s="372">
        <f>MEDIAN(T118:T124)-T118</f>
        <v>3</v>
      </c>
      <c r="BB10" s="141"/>
      <c r="BC10" s="141"/>
    </row>
    <row r="11" spans="2:64" ht="18.75">
      <c r="B11" s="98"/>
      <c r="C11" s="77"/>
      <c r="D11" s="76"/>
      <c r="E11" s="77"/>
      <c r="F11" s="77"/>
      <c r="G11" s="78" t="s">
        <v>28</v>
      </c>
      <c r="H11" s="158">
        <f>COLUMN()</f>
        <v>8</v>
      </c>
      <c r="I11" s="76" t="s">
        <v>29</v>
      </c>
      <c r="J11" s="77"/>
      <c r="K11" s="77"/>
      <c r="L11" s="77"/>
      <c r="M11" s="77"/>
      <c r="N11" s="77"/>
      <c r="O11" s="77"/>
      <c r="P11" s="78" t="s">
        <v>30</v>
      </c>
      <c r="Q11" s="158">
        <f>COLUMN()</f>
        <v>17</v>
      </c>
      <c r="R11" s="79" t="s">
        <v>31</v>
      </c>
      <c r="S11" s="79"/>
      <c r="T11" s="79"/>
      <c r="U11" s="79"/>
      <c r="V11" s="99"/>
      <c r="X11" s="16" t="s">
        <v>114</v>
      </c>
      <c r="Y11" s="372">
        <f>MEDIAN(E124:E130)-E124-(MEDIAN($R$124:$T$130)-MEDIAN($R$124:$T$124))</f>
        <v>0</v>
      </c>
      <c r="Z11" s="372">
        <f>MEDIAN(F124:F130)-F124-(MEDIAN($R$124:$T$130)-MEDIAN($R$124:$T$124))</f>
        <v>0</v>
      </c>
      <c r="AA11" s="372">
        <f>MEDIAN(G124:G130)-G124-(MEDIAN($R$124:$T$130)-MEDIAN($R$124:$T$124))</f>
        <v>0</v>
      </c>
      <c r="AB11" s="372">
        <f>MEDIAN(H124:H130)-H124-(MEDIAN($R$124:$T$130)-MEDIAN($R$124:$T$124))</f>
        <v>0</v>
      </c>
      <c r="AC11" s="372">
        <f>MEDIAN(I124:I130)-I124-(MEDIAN($R$124:$T$130)-MEDIAN($R$124:$T$124))</f>
        <v>0</v>
      </c>
      <c r="AD11" s="372">
        <f>MEDIAN(J124:J130)-J124-(MEDIAN($R$124:$T$130)-MEDIAN($R$124:$T$124))</f>
        <v>0</v>
      </c>
      <c r="AE11" s="372">
        <f>MEDIAN(K124:K130)-K124-(MEDIAN($R$124:$T$130)-MEDIAN($R$124:$T$124))</f>
        <v>0</v>
      </c>
      <c r="AF11" s="372">
        <f>MEDIAN(L124:L130)-L124-(MEDIAN($R$124:$T$130)-MEDIAN($R$124:$T$124))</f>
        <v>0</v>
      </c>
      <c r="AG11" s="372">
        <f>MEDIAN(M124:M130)-M124-(MEDIAN($R$124:$T$130)-MEDIAN($R$124:$T$124))</f>
        <v>0</v>
      </c>
      <c r="AH11" s="372">
        <f>MEDIAN(N124:N130)-N124-(MEDIAN($R$124:$T$130)-MEDIAN($R$124:$T$124))</f>
        <v>0</v>
      </c>
      <c r="AI11" s="372">
        <f>MEDIAN(O124:O130)-O124-(MEDIAN($R$124:$T$130)-MEDIAN($R$124:$T$124))</f>
        <v>0</v>
      </c>
      <c r="AJ11" s="372">
        <f>MEDIAN(P124:P130)-P124-(MEDIAN($R$124:$T$130)-MEDIAN($R$124:$T$124))</f>
        <v>0</v>
      </c>
      <c r="AK11" s="372">
        <f>MEDIAN(Q124:Q130)-Q124-(MEDIAN($R$124:$T$130)-MEDIAN($R$124:$T$124))</f>
        <v>0</v>
      </c>
      <c r="AL11" s="372">
        <f>MEDIAN(R124:R130)-R124</f>
        <v>3</v>
      </c>
      <c r="AM11" s="372">
        <f>MEDIAN(S124:S130)-S124</f>
        <v>3</v>
      </c>
      <c r="AN11" s="372">
        <f>MEDIAN(T124:T130)-T124</f>
        <v>3</v>
      </c>
      <c r="BB11" s="146"/>
      <c r="BC11" s="146"/>
      <c r="BD11" s="74"/>
    </row>
    <row r="12" spans="2:64" ht="18">
      <c r="B12" s="98"/>
      <c r="C12" s="77"/>
      <c r="D12" s="76"/>
      <c r="E12" s="77"/>
      <c r="F12" s="77"/>
      <c r="G12" s="78" t="s">
        <v>32</v>
      </c>
      <c r="H12" s="159">
        <v>360</v>
      </c>
      <c r="I12" s="76" t="s">
        <v>33</v>
      </c>
      <c r="J12" s="77"/>
      <c r="K12" s="77"/>
      <c r="L12" s="77"/>
      <c r="M12" s="77"/>
      <c r="N12" s="77"/>
      <c r="O12" s="77"/>
      <c r="P12" s="78" t="s">
        <v>34</v>
      </c>
      <c r="Q12" s="159">
        <v>0.7</v>
      </c>
      <c r="R12" s="76" t="s">
        <v>35</v>
      </c>
      <c r="S12" s="76"/>
      <c r="T12" s="76"/>
      <c r="U12" s="76"/>
      <c r="V12" s="100"/>
      <c r="X12" s="16" t="s">
        <v>115</v>
      </c>
      <c r="Y12" s="372">
        <f>MEDIAN(E130:E136)-E130-(MEDIAN($R$130:$T$136)-MEDIAN($R$130:$T$130))</f>
        <v>0</v>
      </c>
      <c r="Z12" s="372">
        <f>MEDIAN(F130:F136)-F130-(MEDIAN($R$130:$T$136)-MEDIAN($R$130:$T$130))</f>
        <v>0</v>
      </c>
      <c r="AA12" s="372">
        <f>MEDIAN(G130:G136)-G130-(MEDIAN($R$130:$T$136)-MEDIAN($R$130:$T$130))</f>
        <v>0</v>
      </c>
      <c r="AB12" s="372">
        <f>MEDIAN(H130:H136)-H130-(MEDIAN($R$130:$T$136)-MEDIAN($R$130:$T$130))</f>
        <v>0</v>
      </c>
      <c r="AC12" s="372">
        <f>MEDIAN(I130:I136)-I130-(MEDIAN($R$130:$T$136)-MEDIAN($R$130:$T$130))</f>
        <v>0</v>
      </c>
      <c r="AD12" s="372">
        <f>MEDIAN(J130:J136)-J130-(MEDIAN($R$130:$T$136)-MEDIAN($R$130:$T$130))</f>
        <v>0</v>
      </c>
      <c r="AE12" s="372">
        <f>MEDIAN(K130:K136)-K130-(MEDIAN($R$130:$T$136)-MEDIAN($R$130:$T$130))</f>
        <v>0</v>
      </c>
      <c r="AF12" s="372">
        <f>MEDIAN(L130:L136)-L130-(MEDIAN($R$130:$T$136)-MEDIAN($R$130:$T$130))</f>
        <v>0</v>
      </c>
      <c r="AG12" s="372">
        <f>MEDIAN(M130:M136)-M130-(MEDIAN($R$130:$T$136)-MEDIAN($R$130:$T$130))</f>
        <v>0</v>
      </c>
      <c r="AH12" s="372">
        <f>MEDIAN(N130:N136)-N130-(MEDIAN($R$130:$T$136)-MEDIAN($R$130:$T$130))</f>
        <v>0</v>
      </c>
      <c r="AI12" s="372">
        <f>MEDIAN(O130:O136)-O130-(MEDIAN($R$130:$T$136)-MEDIAN($R$130:$T$130))</f>
        <v>0</v>
      </c>
      <c r="AJ12" s="372">
        <f>MEDIAN(P130:P136)-P130-(MEDIAN($R$130:$T$136)-MEDIAN($R$130:$T$130))</f>
        <v>0</v>
      </c>
      <c r="AK12" s="372">
        <f>MEDIAN(Q130:Q136)-Q130-(MEDIAN($R$130:$T$136)-MEDIAN($R$130:$T$130))</f>
        <v>0</v>
      </c>
      <c r="AL12" s="372">
        <f>MEDIAN(R130:R136)-R130</f>
        <v>3</v>
      </c>
      <c r="AM12" s="372">
        <f>MEDIAN(S130:S136)-S130</f>
        <v>3</v>
      </c>
      <c r="AN12" s="372">
        <f>MEDIAN(T130:T136)-T130</f>
        <v>3</v>
      </c>
      <c r="BB12" s="147"/>
      <c r="BC12" s="147"/>
      <c r="BD12" s="1"/>
    </row>
    <row r="13" spans="2:64" ht="18">
      <c r="B13" s="98"/>
      <c r="C13" s="77"/>
      <c r="D13" s="76"/>
      <c r="E13" s="77"/>
      <c r="F13" s="77"/>
      <c r="G13" s="78" t="s">
        <v>36</v>
      </c>
      <c r="H13" s="159">
        <v>15</v>
      </c>
      <c r="I13" s="76" t="s">
        <v>37</v>
      </c>
      <c r="J13" s="77"/>
      <c r="K13" s="77"/>
      <c r="L13" s="77"/>
      <c r="M13" s="77"/>
      <c r="N13" s="77"/>
      <c r="O13" s="77"/>
      <c r="P13" s="78" t="s">
        <v>38</v>
      </c>
      <c r="Q13" s="159">
        <v>110</v>
      </c>
      <c r="R13" s="76" t="s">
        <v>39</v>
      </c>
      <c r="S13" s="76"/>
      <c r="T13" s="76"/>
      <c r="U13" s="76"/>
      <c r="V13" s="100"/>
      <c r="X13" s="16" t="s">
        <v>116</v>
      </c>
      <c r="Y13" s="372">
        <f>MEDIAN(E136:E142)-E136-(MEDIAN($R$136:$T$142)-MEDIAN($R$136:$T$136))</f>
        <v>0</v>
      </c>
      <c r="Z13" s="372">
        <f>MEDIAN(F136:F142)-F136-(MEDIAN($R$136:$T$142)-MEDIAN($R$136:$T$136))</f>
        <v>0</v>
      </c>
      <c r="AA13" s="372">
        <f>MEDIAN(G136:G142)-G136-(MEDIAN($R$136:$T$142)-MEDIAN($R$136:$T$136))</f>
        <v>0</v>
      </c>
      <c r="AB13" s="372">
        <f>MEDIAN(H136:H142)-H136-(MEDIAN($R$136:$T$142)-MEDIAN($R$136:$T$136))</f>
        <v>0</v>
      </c>
      <c r="AC13" s="372">
        <f>MEDIAN(I136:I142)-I136-(MEDIAN($R$136:$T$142)-MEDIAN($R$136:$T$136))</f>
        <v>0</v>
      </c>
      <c r="AD13" s="372">
        <f>MEDIAN(J136:J142)-J136-(MEDIAN($R$136:$T$142)-MEDIAN($R$136:$T$136))</f>
        <v>0</v>
      </c>
      <c r="AE13" s="372">
        <f>MEDIAN(K136:K142)-K136-(MEDIAN($R$136:$T$142)-MEDIAN($R$136:$T$136))</f>
        <v>0</v>
      </c>
      <c r="AF13" s="372">
        <f>MEDIAN(L136:L142)-L136-(MEDIAN($R$136:$T$142)-MEDIAN($R$136:$T$136))</f>
        <v>0</v>
      </c>
      <c r="AG13" s="372">
        <f>MEDIAN(M136:M142)-M136-(MEDIAN($R$136:$T$142)-MEDIAN($R$136:$T$136))</f>
        <v>0</v>
      </c>
      <c r="AH13" s="372">
        <f>MEDIAN(N136:N142)-N136-(MEDIAN($R$136:$T$142)-MEDIAN($R$136:$T$136))</f>
        <v>0</v>
      </c>
      <c r="AI13" s="372">
        <f>MEDIAN(O136:O142)-O136-(MEDIAN($R$136:$T$142)-MEDIAN($R$136:$T$136))</f>
        <v>0</v>
      </c>
      <c r="AJ13" s="372">
        <f>MEDIAN(P136:P142)-P136-(MEDIAN($R$136:$T$142)-MEDIAN($R$136:$T$136))</f>
        <v>0</v>
      </c>
      <c r="AK13" s="372">
        <f>MEDIAN(Q136:Q142)-Q136-(MEDIAN($R$136:$T$142)-MEDIAN($R$136:$T$136))</f>
        <v>0</v>
      </c>
      <c r="AL13" s="372">
        <f>MEDIAN(R136:R142)-R136</f>
        <v>3</v>
      </c>
      <c r="AM13" s="372">
        <f>MEDIAN(S136:S142)-S136</f>
        <v>3</v>
      </c>
      <c r="AN13" s="372">
        <f>MEDIAN(T136:T142)-T136</f>
        <v>3</v>
      </c>
      <c r="BB13" s="147"/>
      <c r="BC13" s="147"/>
      <c r="BD13" s="1"/>
    </row>
    <row r="14" spans="2:64" ht="18">
      <c r="B14" s="98"/>
      <c r="C14" s="77"/>
      <c r="D14" s="76"/>
      <c r="E14" s="77"/>
      <c r="F14" s="77"/>
      <c r="G14" s="78" t="s">
        <v>40</v>
      </c>
      <c r="H14" s="159">
        <v>60</v>
      </c>
      <c r="I14" s="76" t="s">
        <v>41</v>
      </c>
      <c r="J14" s="77"/>
      <c r="K14" s="77"/>
      <c r="L14" s="77"/>
      <c r="M14" s="77"/>
      <c r="N14" s="77"/>
      <c r="O14" s="77"/>
      <c r="P14" s="78" t="s">
        <v>44</v>
      </c>
      <c r="Q14" s="159">
        <v>25.5</v>
      </c>
      <c r="R14" s="76" t="s">
        <v>45</v>
      </c>
      <c r="S14" s="76"/>
      <c r="T14" s="76"/>
      <c r="U14" s="76"/>
      <c r="V14" s="100"/>
      <c r="X14" s="16" t="s">
        <v>117</v>
      </c>
      <c r="Y14" s="372">
        <f>MEDIAN(E142:E148)-E142-(MEDIAN($R$142:$T$148)-MEDIAN($R$142:$T$142))</f>
        <v>0</v>
      </c>
      <c r="Z14" s="372">
        <f>MEDIAN(F142:F148)-F142-(MEDIAN($R$142:$T$148)-MEDIAN($R$142:$T$142))</f>
        <v>0</v>
      </c>
      <c r="AA14" s="372">
        <f>MEDIAN(G142:G148)-G142-(MEDIAN($R$142:$T$148)-MEDIAN($R$142:$T$142))</f>
        <v>0</v>
      </c>
      <c r="AB14" s="372">
        <f>MEDIAN(H142:H148)-H142-(MEDIAN($R$142:$T$148)-MEDIAN($R$142:$T$142))</f>
        <v>0</v>
      </c>
      <c r="AC14" s="372">
        <f>MEDIAN(I142:I148)-I142-(MEDIAN($R$142:$T$148)-MEDIAN($R$142:$T$142))</f>
        <v>0</v>
      </c>
      <c r="AD14" s="372">
        <f>MEDIAN(J142:J148)-J142-(MEDIAN($R$142:$T$148)-MEDIAN($R$142:$T$142))</f>
        <v>0</v>
      </c>
      <c r="AE14" s="372">
        <f>MEDIAN(K142:K148)-K142-(MEDIAN($R$142:$T$148)-MEDIAN($R$142:$T$142))</f>
        <v>0</v>
      </c>
      <c r="AF14" s="372">
        <f>MEDIAN(L142:L148)-L142-(MEDIAN($R$142:$T$148)-MEDIAN($R$142:$T$142))</f>
        <v>0</v>
      </c>
      <c r="AG14" s="372">
        <f>MEDIAN(M142:M148)-M142-(MEDIAN($R$142:$T$148)-MEDIAN($R$142:$T$142))</f>
        <v>0</v>
      </c>
      <c r="AH14" s="372">
        <f>MEDIAN(N142:N148)-N142-(MEDIAN($R$142:$T$148)-MEDIAN($R$142:$T$142))</f>
        <v>0</v>
      </c>
      <c r="AI14" s="372">
        <f>MEDIAN(O142:O148)-O142-(MEDIAN($R$142:$T$148)-MEDIAN($R$142:$T$142))</f>
        <v>0</v>
      </c>
      <c r="AJ14" s="372">
        <f>MEDIAN(P142:P148)-P142-(MEDIAN($R$142:$T$148)-MEDIAN($R$142:$T$142))</f>
        <v>0</v>
      </c>
      <c r="AK14" s="372">
        <f>MEDIAN(Q142:Q148)-Q142-(MEDIAN($R$142:$T$148)-MEDIAN($R$142:$T$142))</f>
        <v>0</v>
      </c>
      <c r="AL14" s="372">
        <f>MEDIAN(R142:R148)-R142</f>
        <v>3</v>
      </c>
      <c r="AM14" s="372">
        <f>MEDIAN(S142:S148)-S142</f>
        <v>3</v>
      </c>
      <c r="AN14" s="372">
        <f>MEDIAN(T142:T148)-T142</f>
        <v>3</v>
      </c>
      <c r="BB14" s="147"/>
      <c r="BC14" s="147"/>
      <c r="BD14" s="1"/>
    </row>
    <row r="15" spans="2:64" ht="18">
      <c r="B15" s="98"/>
      <c r="C15" s="77"/>
      <c r="D15" s="76"/>
      <c r="E15" s="77"/>
      <c r="F15" s="77"/>
      <c r="G15" s="78" t="s">
        <v>42</v>
      </c>
      <c r="H15" s="159">
        <v>10</v>
      </c>
      <c r="I15" s="76" t="s">
        <v>43</v>
      </c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96"/>
      <c r="X15" s="16" t="s">
        <v>118</v>
      </c>
      <c r="Y15" s="372">
        <f>MEDIAN(E148:E154)-E148-(MEDIAN($R$148:$T$154)-MEDIAN($R$148:$T$148))</f>
        <v>0</v>
      </c>
      <c r="Z15" s="372">
        <f>MEDIAN(F148:F154)-F148-(MEDIAN($R$148:$T$154)-MEDIAN($R$148:$T$148))</f>
        <v>0</v>
      </c>
      <c r="AA15" s="372">
        <f>MEDIAN(G148:G154)-G148-(MEDIAN($R$148:$T$154)-MEDIAN($R$148:$T$148))</f>
        <v>0</v>
      </c>
      <c r="AB15" s="372">
        <f>MEDIAN(H148:H154)-H148-(MEDIAN($R$148:$T$154)-MEDIAN($R$148:$T$148))</f>
        <v>0</v>
      </c>
      <c r="AC15" s="372">
        <f>MEDIAN(I148:I154)-I148-(MEDIAN($R$148:$T$154)-MEDIAN($R$148:$T$148))</f>
        <v>0</v>
      </c>
      <c r="AD15" s="372">
        <f>MEDIAN(J148:J154)-J148-(MEDIAN($R$148:$T$154)-MEDIAN($R$148:$T$148))</f>
        <v>0</v>
      </c>
      <c r="AE15" s="372">
        <f>MEDIAN(K148:K154)-K148-(MEDIAN($R$148:$T$154)-MEDIAN($R$148:$T$148))</f>
        <v>0</v>
      </c>
      <c r="AF15" s="372">
        <f>MEDIAN(L148:L154)-L148-(MEDIAN($R$148:$T$154)-MEDIAN($R$148:$T$148))</f>
        <v>0</v>
      </c>
      <c r="AG15" s="372">
        <f>MEDIAN(M148:M154)-M148-(MEDIAN($R$148:$T$154)-MEDIAN($R$148:$T$148))</f>
        <v>0</v>
      </c>
      <c r="AH15" s="372">
        <f>MEDIAN(N148:N154)-N148-(MEDIAN($R$148:$T$154)-MEDIAN($R$148:$T$148))</f>
        <v>0</v>
      </c>
      <c r="AI15" s="372">
        <f>MEDIAN(O148:O154)-O148-(MEDIAN($R$148:$T$154)-MEDIAN($R$148:$T$148))</f>
        <v>0</v>
      </c>
      <c r="AJ15" s="372">
        <f>MEDIAN(P148:P154)-P148-(MEDIAN($R$148:$T$154)-MEDIAN($R$148:$T$148))</f>
        <v>0</v>
      </c>
      <c r="AK15" s="372">
        <f>MEDIAN(Q148:Q154)-Q148-(MEDIAN($R$148:$T$154)-MEDIAN($R$148:$T$148))</f>
        <v>0</v>
      </c>
      <c r="AL15" s="372">
        <f>MEDIAN(R148:R154)-R148</f>
        <v>3</v>
      </c>
      <c r="AM15" s="372">
        <f>MEDIAN(S148:S154)-S148</f>
        <v>3</v>
      </c>
      <c r="AN15" s="372">
        <f>MEDIAN(T148:T154)-T148</f>
        <v>3</v>
      </c>
      <c r="BB15" s="141"/>
      <c r="BC15" s="141"/>
    </row>
    <row r="16" spans="2:64" ht="18.75">
      <c r="B16" s="98"/>
      <c r="C16" s="77"/>
      <c r="D16" s="76"/>
      <c r="E16" s="77"/>
      <c r="F16" s="77"/>
      <c r="G16" s="78" t="s">
        <v>46</v>
      </c>
      <c r="H16" s="78">
        <f ca="1">YEAR(TODAY())</f>
        <v>2023</v>
      </c>
      <c r="I16" s="77"/>
      <c r="J16" s="77"/>
      <c r="K16" s="77"/>
      <c r="L16" s="77"/>
      <c r="M16" s="77"/>
      <c r="N16" s="77"/>
      <c r="O16" s="77"/>
      <c r="P16" s="78" t="s">
        <v>58</v>
      </c>
      <c r="Q16" s="370" t="s">
        <v>103</v>
      </c>
      <c r="R16" s="371"/>
      <c r="S16" s="101"/>
      <c r="T16" s="101"/>
      <c r="U16" s="101"/>
      <c r="V16" s="102"/>
      <c r="X16" s="16" t="s">
        <v>119</v>
      </c>
      <c r="Y16" s="372">
        <f>MEDIAN(E154:E160)-E154-(MEDIAN($R$154:$T$160)-MEDIAN($R$154:$T$154))</f>
        <v>0</v>
      </c>
      <c r="Z16" s="372">
        <f>MEDIAN(F154:F160)-F154-(MEDIAN($R$154:$T$160)-MEDIAN($R$154:$T$154))</f>
        <v>0</v>
      </c>
      <c r="AA16" s="372">
        <f>MEDIAN(G154:G160)-G154-(MEDIAN($R$154:$T$160)-MEDIAN($R$154:$T$154))</f>
        <v>0</v>
      </c>
      <c r="AB16" s="372">
        <f>MEDIAN(H154:H160)-H154-(MEDIAN($R$154:$T$160)-MEDIAN($R$154:$T$154))</f>
        <v>0</v>
      </c>
      <c r="AC16" s="372">
        <f>MEDIAN(I154:I160)-I154-(MEDIAN($R$154:$T$160)-MEDIAN($R$154:$T$154))</f>
        <v>0</v>
      </c>
      <c r="AD16" s="372">
        <f>MEDIAN(J154:J160)-J154-(MEDIAN($R$154:$T$160)-MEDIAN($R$154:$T$154))</f>
        <v>0</v>
      </c>
      <c r="AE16" s="372">
        <f>MEDIAN(K154:K160)-K154-(MEDIAN($R$154:$T$160)-MEDIAN($R$154:$T$154))</f>
        <v>0</v>
      </c>
      <c r="AF16" s="372">
        <f>MEDIAN(L154:L160)-L154-(MEDIAN($R$154:$T$160)-MEDIAN($R$154:$T$154))</f>
        <v>0</v>
      </c>
      <c r="AG16" s="372">
        <f>MEDIAN(M154:M160)-M154-(MEDIAN($R$154:$T$160)-MEDIAN($R$154:$T$154))</f>
        <v>0</v>
      </c>
      <c r="AH16" s="372">
        <f>MEDIAN(N154:N160)-N154-(MEDIAN($R$154:$T$160)-MEDIAN($R$154:$T$154))</f>
        <v>0</v>
      </c>
      <c r="AI16" s="372">
        <f>MEDIAN(O154:O160)-O154-(MEDIAN($R$154:$T$160)-MEDIAN($R$154:$T$154))</f>
        <v>0</v>
      </c>
      <c r="AJ16" s="372">
        <f>MEDIAN(P154:P160)-P154-(MEDIAN($R$154:$T$160)-MEDIAN($R$154:$T$154))</f>
        <v>0</v>
      </c>
      <c r="AK16" s="372">
        <f>MEDIAN(Q154:Q160)-Q154-(MEDIAN($R$154:$T$160)-MEDIAN($R$154:$T$154))</f>
        <v>0</v>
      </c>
      <c r="AL16" s="372">
        <f>MEDIAN(R154:R160)-R154</f>
        <v>3</v>
      </c>
      <c r="AM16" s="372">
        <f>MEDIAN(S154:S160)-S154</f>
        <v>3</v>
      </c>
      <c r="AN16" s="372">
        <f>MEDIAN(T154:T160)-T154</f>
        <v>3</v>
      </c>
      <c r="BB16" s="148"/>
      <c r="BC16" s="148"/>
      <c r="BD16" s="75"/>
    </row>
    <row r="17" spans="2:62" ht="18.75">
      <c r="B17" s="97"/>
      <c r="C17" s="77"/>
      <c r="D17" s="77"/>
      <c r="E17" s="77"/>
      <c r="F17" s="77"/>
      <c r="G17" s="76"/>
      <c r="H17" s="76"/>
      <c r="I17" s="77"/>
      <c r="J17" s="77"/>
      <c r="K17" s="77"/>
      <c r="L17" s="77"/>
      <c r="M17" s="354"/>
      <c r="N17" s="355"/>
      <c r="O17" s="103"/>
      <c r="P17" s="103"/>
      <c r="Q17" s="103"/>
      <c r="R17" s="103"/>
      <c r="S17" s="103"/>
      <c r="T17" s="103"/>
      <c r="U17" s="103"/>
      <c r="V17" s="96"/>
      <c r="X17" s="16" t="s">
        <v>120</v>
      </c>
      <c r="Y17" s="372">
        <f>MEDIAN(E160:E166)-E160-(MEDIAN($R$160:$T$166)-MEDIAN($R$160:$T$160))</f>
        <v>0</v>
      </c>
      <c r="Z17" s="372">
        <f>MEDIAN(F160:F166)-F160-(MEDIAN($R$160:$T$166)-MEDIAN($R$160:$T$160))</f>
        <v>0</v>
      </c>
      <c r="AA17" s="372">
        <f>MEDIAN(G160:G166)-G160-(MEDIAN($R$160:$T$166)-MEDIAN($R$160:$T$160))</f>
        <v>0</v>
      </c>
      <c r="AB17" s="372">
        <f>MEDIAN(H160:H166)-H160-(MEDIAN($R$160:$T$166)-MEDIAN($R$160:$T$160))</f>
        <v>0</v>
      </c>
      <c r="AC17" s="372">
        <f>MEDIAN(I160:I166)-I160-(MEDIAN($R$160:$T$166)-MEDIAN($R$160:$T$160))</f>
        <v>0</v>
      </c>
      <c r="AD17" s="372">
        <f>MEDIAN(J160:J166)-J160-(MEDIAN($R$160:$T$166)-MEDIAN($R$160:$T$160))</f>
        <v>0</v>
      </c>
      <c r="AE17" s="372">
        <f>MEDIAN(K160:K166)-K160-(MEDIAN($R$160:$T$166)-MEDIAN($R$160:$T$160))</f>
        <v>0</v>
      </c>
      <c r="AF17" s="372">
        <f>MEDIAN(L160:L166)-L160-(MEDIAN($R$160:$T$166)-MEDIAN($R$160:$T$160))</f>
        <v>0</v>
      </c>
      <c r="AG17" s="372">
        <f>MEDIAN(M160:M166)-M160-(MEDIAN($R$160:$T$166)-MEDIAN($R$160:$T$160))</f>
        <v>0</v>
      </c>
      <c r="AH17" s="372">
        <f>MEDIAN(N160:N166)-N160-(MEDIAN($R$160:$T$166)-MEDIAN($R$160:$T$160))</f>
        <v>0</v>
      </c>
      <c r="AI17" s="372">
        <f>MEDIAN(O160:O166)-O160-(MEDIAN($R$160:$T$166)-MEDIAN($R$160:$T$160))</f>
        <v>0</v>
      </c>
      <c r="AJ17" s="372">
        <f>MEDIAN(P160:P166)-P160-(MEDIAN($R$160:$T$166)-MEDIAN($R$160:$T$160))</f>
        <v>0</v>
      </c>
      <c r="AK17" s="372">
        <f>MEDIAN(Q160:Q166)-Q160-(MEDIAN($R$160:$T$166)-MEDIAN($R$160:$T$160))</f>
        <v>0</v>
      </c>
      <c r="AL17" s="372">
        <f>MEDIAN(R160:R166)-R160</f>
        <v>3</v>
      </c>
      <c r="AM17" s="372">
        <f>MEDIAN(S160:S166)-S160</f>
        <v>3</v>
      </c>
      <c r="AN17" s="372">
        <f>MEDIAN(T160:T166)-T160</f>
        <v>3</v>
      </c>
      <c r="BB17" s="141"/>
      <c r="BC17" s="141"/>
    </row>
    <row r="18" spans="2:62" ht="18">
      <c r="B18" s="289" t="s">
        <v>57</v>
      </c>
      <c r="C18" s="290"/>
      <c r="D18" s="290"/>
      <c r="E18" s="290"/>
      <c r="F18" s="290"/>
      <c r="G18" s="290"/>
      <c r="H18" s="290"/>
      <c r="I18" s="290"/>
      <c r="J18" s="290"/>
      <c r="K18" s="290"/>
      <c r="L18" s="290"/>
      <c r="M18" s="290"/>
      <c r="N18" s="290"/>
      <c r="O18" s="290"/>
      <c r="P18" s="290"/>
      <c r="Q18" s="290"/>
      <c r="R18" s="290"/>
      <c r="S18" s="290"/>
      <c r="T18" s="290"/>
      <c r="U18" s="290"/>
      <c r="V18" s="291"/>
      <c r="X18" s="16" t="s">
        <v>121</v>
      </c>
      <c r="Y18" s="372">
        <f>MEDIAN(E166:E172)-E166-(MEDIAN($R$166:$T$172)-MEDIAN($R$166:$T$166))</f>
        <v>0</v>
      </c>
      <c r="Z18" s="372">
        <f>MEDIAN(F166:F172)-F166-(MEDIAN($R$166:$T$172)-MEDIAN($R$166:$T$166))</f>
        <v>0</v>
      </c>
      <c r="AA18" s="372">
        <f>MEDIAN(G166:G172)-G166-(MEDIAN($R$166:$T$172)-MEDIAN($R$166:$T$166))</f>
        <v>0</v>
      </c>
      <c r="AB18" s="372">
        <f>MEDIAN(H166:H172)-H166-(MEDIAN($R$166:$T$172)-MEDIAN($R$166:$T$166))</f>
        <v>0</v>
      </c>
      <c r="AC18" s="372">
        <f>MEDIAN(I166:I172)-I166-(MEDIAN($R$166:$T$172)-MEDIAN($R$166:$T$166))</f>
        <v>0</v>
      </c>
      <c r="AD18" s="372">
        <f>MEDIAN(J166:J172)-J166-(MEDIAN($R$166:$T$172)-MEDIAN($R$166:$T$166))</f>
        <v>0</v>
      </c>
      <c r="AE18" s="372">
        <f>MEDIAN(K166:K172)-K166-(MEDIAN($R$166:$T$172)-MEDIAN($R$166:$T$166))</f>
        <v>0</v>
      </c>
      <c r="AF18" s="372">
        <f>MEDIAN(L166:L172)-L166-(MEDIAN($R$166:$T$172)-MEDIAN($R$166:$T$166))</f>
        <v>0</v>
      </c>
      <c r="AG18" s="372">
        <f>MEDIAN(M166:M172)-M166-(MEDIAN($R$166:$T$172)-MEDIAN($R$166:$T$166))</f>
        <v>0</v>
      </c>
      <c r="AH18" s="372">
        <f>MEDIAN(N166:N172)-N166-(MEDIAN($R$166:$T$172)-MEDIAN($R$166:$T$166))</f>
        <v>0</v>
      </c>
      <c r="AI18" s="372">
        <f>MEDIAN(O166:O172)-O166-(MEDIAN($R$166:$T$172)-MEDIAN($R$166:$T$166))</f>
        <v>0</v>
      </c>
      <c r="AJ18" s="372">
        <f>MEDIAN(P166:P172)-P166-(MEDIAN($R$166:$T$172)-MEDIAN($R$166:$T$166))</f>
        <v>0</v>
      </c>
      <c r="AK18" s="372">
        <f>MEDIAN(Q166:Q172)-Q166-(MEDIAN($R$166:$T$172)-MEDIAN($R$166:$T$166))</f>
        <v>0</v>
      </c>
      <c r="AL18" s="372">
        <f>MEDIAN(R166:R172)-R166</f>
        <v>3</v>
      </c>
      <c r="AM18" s="372">
        <f>MEDIAN(S166:S172)-S166</f>
        <v>3</v>
      </c>
      <c r="AN18" s="372">
        <f>MEDIAN(T166:T172)-T166</f>
        <v>3</v>
      </c>
      <c r="BB18" s="141"/>
      <c r="BC18" s="141"/>
    </row>
    <row r="19" spans="2:62" ht="14.1" customHeight="1">
      <c r="B19" s="98"/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77"/>
      <c r="U19" s="77"/>
      <c r="V19" s="96"/>
      <c r="X19" s="16" t="s">
        <v>122</v>
      </c>
      <c r="Y19" s="372">
        <f>MEDIAN(E172:E178)-E172-(MEDIAN($R$172:$T$178)-MEDIAN($R$172:$T$172))</f>
        <v>0</v>
      </c>
      <c r="Z19" s="372">
        <f>MEDIAN(F172:F178)-F172-(MEDIAN($R$172:$T$178)-MEDIAN($R$172:$T$172))</f>
        <v>0</v>
      </c>
      <c r="AA19" s="372">
        <f>MEDIAN(G172:G178)-G172-(MEDIAN($R$172:$T$178)-MEDIAN($R$172:$T$172))</f>
        <v>0</v>
      </c>
      <c r="AB19" s="372">
        <f>MEDIAN(H172:H178)-H172-(MEDIAN($R$172:$T$178)-MEDIAN($R$172:$T$172))</f>
        <v>0</v>
      </c>
      <c r="AC19" s="372">
        <f>MEDIAN(I172:I178)-I172-(MEDIAN($R$172:$T$178)-MEDIAN($R$172:$T$172))</f>
        <v>0</v>
      </c>
      <c r="AD19" s="372">
        <f>MEDIAN(J172:J178)-J172-(MEDIAN($R$172:$T$178)-MEDIAN($R$172:$T$172))</f>
        <v>0</v>
      </c>
      <c r="AE19" s="372">
        <f>MEDIAN(K172:K178)-K172-(MEDIAN($R$172:$T$178)-MEDIAN($R$172:$T$172))</f>
        <v>0</v>
      </c>
      <c r="AF19" s="372">
        <f>MEDIAN(L172:L178)-L172-(MEDIAN($R$172:$T$178)-MEDIAN($R$172:$T$172))</f>
        <v>0</v>
      </c>
      <c r="AG19" s="372">
        <f>MEDIAN(M172:M178)-M172-(MEDIAN($R$172:$T$178)-MEDIAN($R$172:$T$172))</f>
        <v>0</v>
      </c>
      <c r="AH19" s="372">
        <f>MEDIAN(N172:N178)-N172-(MEDIAN($R$172:$T$178)-MEDIAN($R$172:$T$172))</f>
        <v>0</v>
      </c>
      <c r="AI19" s="372">
        <f>MEDIAN(O172:O178)-O172-(MEDIAN($R$172:$T$178)-MEDIAN($R$172:$T$172))</f>
        <v>0</v>
      </c>
      <c r="AJ19" s="372">
        <f>MEDIAN(P172:P178)-P172-(MEDIAN($R$172:$T$178)-MEDIAN($R$172:$T$172))</f>
        <v>0</v>
      </c>
      <c r="AK19" s="372">
        <f>MEDIAN(Q172:Q178)-Q172-(MEDIAN($R$172:$T$178)-MEDIAN($R$172:$T$172))</f>
        <v>0</v>
      </c>
      <c r="AL19" s="372">
        <f>MEDIAN(R172:R178)-R172</f>
        <v>3</v>
      </c>
      <c r="AM19" s="372">
        <f>MEDIAN(S172:S178)-S172</f>
        <v>3</v>
      </c>
      <c r="AN19" s="372">
        <f>MEDIAN(T172:T178)-T172</f>
        <v>3</v>
      </c>
      <c r="AO19" s="70"/>
      <c r="BB19" s="141"/>
      <c r="BC19" s="141"/>
    </row>
    <row r="20" spans="2:62" ht="14.1" customHeight="1">
      <c r="B20" s="98"/>
      <c r="C20" s="356"/>
      <c r="D20" s="357"/>
      <c r="E20" s="357"/>
      <c r="F20" s="357"/>
      <c r="G20" s="357"/>
      <c r="H20" s="357"/>
      <c r="I20" s="357"/>
      <c r="J20" s="357"/>
      <c r="K20" s="357"/>
      <c r="L20" s="357"/>
      <c r="M20" s="357"/>
      <c r="N20" s="77"/>
      <c r="O20" s="77"/>
      <c r="P20" s="77"/>
      <c r="Q20" s="77"/>
      <c r="R20" s="77"/>
      <c r="S20" s="77"/>
      <c r="T20" s="77"/>
      <c r="U20" s="77"/>
      <c r="V20" s="96"/>
      <c r="X20" s="16" t="s">
        <v>123</v>
      </c>
      <c r="Y20" s="372">
        <f>MEDIAN(E178:E184)-E178-(MEDIAN($R$178:$T$184)-MEDIAN($R$178:$T$178))</f>
        <v>0</v>
      </c>
      <c r="Z20" s="372">
        <f>MEDIAN(F178:F184)-F178-(MEDIAN($R$178:$T$184)-MEDIAN($R$178:$T$178))</f>
        <v>0</v>
      </c>
      <c r="AA20" s="372">
        <f>MEDIAN(G178:G184)-G178-(MEDIAN($R$178:$T$184)-MEDIAN($R$178:$T$178))</f>
        <v>0</v>
      </c>
      <c r="AB20" s="372">
        <f>MEDIAN(H178:H184)-H178-(MEDIAN($R$178:$T$184)-MEDIAN($R$178:$T$178))</f>
        <v>0</v>
      </c>
      <c r="AC20" s="372">
        <f>MEDIAN(I178:I184)-I178-(MEDIAN($R$178:$T$184)-MEDIAN($R$178:$T$178))</f>
        <v>0</v>
      </c>
      <c r="AD20" s="372">
        <f>MEDIAN(J178:J184)-J178-(MEDIAN($R$178:$T$184)-MEDIAN($R$178:$T$178))</f>
        <v>0</v>
      </c>
      <c r="AE20" s="372">
        <f>MEDIAN(K178:K184)-K178-(MEDIAN($R$178:$T$184)-MEDIAN($R$178:$T$178))</f>
        <v>0</v>
      </c>
      <c r="AF20" s="372">
        <f>MEDIAN(L178:L184)-L178-(MEDIAN($R$178:$T$184)-MEDIAN($R$178:$T$178))</f>
        <v>0</v>
      </c>
      <c r="AG20" s="372">
        <f>MEDIAN(M178:M184)-M178-(MEDIAN($R$178:$T$184)-MEDIAN($R$178:$T$178))</f>
        <v>0</v>
      </c>
      <c r="AH20" s="372">
        <f>MEDIAN(N178:N184)-N178-(MEDIAN($R$178:$T$184)-MEDIAN($R$178:$T$178))</f>
        <v>0</v>
      </c>
      <c r="AI20" s="372">
        <f>MEDIAN(O178:O184)-O178-(MEDIAN($R$178:$T$184)-MEDIAN($R$178:$T$178))</f>
        <v>0</v>
      </c>
      <c r="AJ20" s="372">
        <f>MEDIAN(P178:P184)-P178-(MEDIAN($R$178:$T$184)-MEDIAN($R$178:$T$178))</f>
        <v>0</v>
      </c>
      <c r="AK20" s="372">
        <f>MEDIAN(Q178:Q184)-Q178-(MEDIAN($R$178:$T$184)-MEDIAN($R$178:$T$178))</f>
        <v>0</v>
      </c>
      <c r="AL20" s="372">
        <f>MEDIAN(R178:R184)-R178</f>
        <v>3</v>
      </c>
      <c r="AM20" s="372">
        <f>MEDIAN(S178:S184)-S178</f>
        <v>3</v>
      </c>
      <c r="AN20" s="372">
        <f>MEDIAN(T178:T184)-T178</f>
        <v>3</v>
      </c>
      <c r="AO20" s="70"/>
      <c r="BB20" s="141"/>
      <c r="BC20" s="141"/>
      <c r="BD20" s="141"/>
      <c r="BE20" s="141"/>
      <c r="BF20" s="141"/>
      <c r="BG20" s="141"/>
      <c r="BH20" s="141"/>
      <c r="BI20" s="141"/>
      <c r="BJ20" s="141"/>
    </row>
    <row r="21" spans="2:62" ht="14.1" customHeight="1">
      <c r="B21" s="98"/>
      <c r="C21" s="357"/>
      <c r="D21" s="357"/>
      <c r="E21" s="357"/>
      <c r="F21" s="357"/>
      <c r="G21" s="357"/>
      <c r="H21" s="357"/>
      <c r="I21" s="357"/>
      <c r="J21" s="357"/>
      <c r="K21" s="357"/>
      <c r="L21" s="357"/>
      <c r="M21" s="357"/>
      <c r="N21" s="77"/>
      <c r="O21" s="77"/>
      <c r="P21" s="77"/>
      <c r="Q21" s="77"/>
      <c r="R21" s="77"/>
      <c r="S21" s="77"/>
      <c r="T21" s="77"/>
      <c r="U21" s="77"/>
      <c r="V21" s="96"/>
      <c r="X21" s="16" t="s">
        <v>124</v>
      </c>
      <c r="Y21" s="372">
        <f>MEDIAN(E184:E190)-E184-(MEDIAN($R$184:$T$190)-MEDIAN($R$184:$T$184))</f>
        <v>0</v>
      </c>
      <c r="Z21" s="372">
        <f>MEDIAN(F184:F190)-F184-(MEDIAN($R$184:$T$190)-MEDIAN($R$184:$T$184))</f>
        <v>0</v>
      </c>
      <c r="AA21" s="372">
        <f>MEDIAN(G184:G190)-G184-(MEDIAN($R$184:$T$190)-MEDIAN($R$184:$T$184))</f>
        <v>0</v>
      </c>
      <c r="AB21" s="372">
        <f>MEDIAN(H184:H190)-H184-(MEDIAN($R$184:$T$190)-MEDIAN($R$184:$T$184))</f>
        <v>0</v>
      </c>
      <c r="AC21" s="372">
        <f>MEDIAN(I184:I190)-I184-(MEDIAN($R$184:$T$190)-MEDIAN($R$184:$T$184))</f>
        <v>0</v>
      </c>
      <c r="AD21" s="372">
        <f>MEDIAN(J184:J190)-J184-(MEDIAN($R$184:$T$190)-MEDIAN($R$184:$T$184))</f>
        <v>0</v>
      </c>
      <c r="AE21" s="372">
        <f>MEDIAN(K184:K190)-K184-(MEDIAN($R$184:$T$190)-MEDIAN($R$184:$T$184))</f>
        <v>0</v>
      </c>
      <c r="AF21" s="372">
        <f>MEDIAN(L184:L190)-L184-(MEDIAN($R$184:$T$190)-MEDIAN($R$184:$T$184))</f>
        <v>0</v>
      </c>
      <c r="AG21" s="372">
        <f>MEDIAN(M184:M190)-M184-(MEDIAN($R$184:$T$190)-MEDIAN($R$184:$T$184))</f>
        <v>0</v>
      </c>
      <c r="AH21" s="372">
        <f>MEDIAN(N184:N190)-N184-(MEDIAN($R$184:$T$190)-MEDIAN($R$184:$T$184))</f>
        <v>0</v>
      </c>
      <c r="AI21" s="372">
        <f>MEDIAN(O184:O190)-O184-(MEDIAN($R$184:$T$190)-MEDIAN($R$184:$T$184))</f>
        <v>0</v>
      </c>
      <c r="AJ21" s="372">
        <f>MEDIAN(P184:P190)-P184-(MEDIAN($R$184:$T$190)-MEDIAN($R$184:$T$184))</f>
        <v>0</v>
      </c>
      <c r="AK21" s="372">
        <f>MEDIAN(Q184:Q190)-Q184-(MEDIAN($R$184:$T$190)-MEDIAN($R$184:$T$184))</f>
        <v>0</v>
      </c>
      <c r="AL21" s="372">
        <f>MEDIAN(R184:R190)-R184</f>
        <v>3</v>
      </c>
      <c r="AM21" s="372">
        <f>MEDIAN(S184:S190)-S184</f>
        <v>3</v>
      </c>
      <c r="AN21" s="372">
        <f>MEDIAN(T184:T190)-T184</f>
        <v>3</v>
      </c>
      <c r="AO21" s="70"/>
      <c r="BB21" s="141"/>
      <c r="BC21" s="141"/>
      <c r="BD21" s="141"/>
      <c r="BE21" s="141"/>
      <c r="BF21" s="141"/>
      <c r="BG21" s="141"/>
      <c r="BH21" s="141"/>
      <c r="BI21" s="141"/>
      <c r="BJ21" s="141"/>
    </row>
    <row r="22" spans="2:62" ht="14.1" customHeight="1">
      <c r="B22" s="98"/>
      <c r="C22" s="357"/>
      <c r="D22" s="357"/>
      <c r="E22" s="357"/>
      <c r="F22" s="357"/>
      <c r="G22" s="357"/>
      <c r="H22" s="357"/>
      <c r="I22" s="357"/>
      <c r="J22" s="357"/>
      <c r="K22" s="357"/>
      <c r="L22" s="357"/>
      <c r="M22" s="357"/>
      <c r="N22" s="77"/>
      <c r="O22" s="77"/>
      <c r="P22" s="77"/>
      <c r="Q22" s="77"/>
      <c r="R22" s="77"/>
      <c r="S22" s="77"/>
      <c r="T22" s="77"/>
      <c r="U22" s="77"/>
      <c r="V22" s="96"/>
      <c r="X22" s="16" t="s">
        <v>125</v>
      </c>
      <c r="Y22" s="372">
        <f>MEDIAN(E190:E196)-E190-(MEDIAN($R$190:$T$196)-MEDIAN($R$190:$T$190))</f>
        <v>0</v>
      </c>
      <c r="Z22" s="372">
        <f>MEDIAN(F190:F196)-F190-(MEDIAN($R$190:$T$196)-MEDIAN($R$190:$T$190))</f>
        <v>0</v>
      </c>
      <c r="AA22" s="372">
        <f>MEDIAN(G190:G196)-G190-(MEDIAN($R$190:$T$196)-MEDIAN($R$190:$T$190))</f>
        <v>0</v>
      </c>
      <c r="AB22" s="372">
        <f>MEDIAN(H190:H196)-H190-(MEDIAN($R$190:$T$196)-MEDIAN($R$190:$T$190))</f>
        <v>0</v>
      </c>
      <c r="AC22" s="372">
        <f>MEDIAN(I190:I196)-I190-(MEDIAN($R$190:$T$196)-MEDIAN($R$190:$T$190))</f>
        <v>0</v>
      </c>
      <c r="AD22" s="372">
        <f>MEDIAN(J190:J196)-J190-(MEDIAN($R$190:$T$196)-MEDIAN($R$190:$T$190))</f>
        <v>0</v>
      </c>
      <c r="AE22" s="372">
        <f>MEDIAN(K190:K196)-K190-(MEDIAN($R$190:$T$196)-MEDIAN($R$190:$T$190))</f>
        <v>0</v>
      </c>
      <c r="AF22" s="372">
        <f>MEDIAN(L190:L196)-L190-(MEDIAN($R$190:$T$196)-MEDIAN($R$190:$T$190))</f>
        <v>0</v>
      </c>
      <c r="AG22" s="372">
        <f>MEDIAN(M190:M196)-M190-(MEDIAN($R$190:$T$196)-MEDIAN($R$190:$T$190))</f>
        <v>0</v>
      </c>
      <c r="AH22" s="372">
        <f>MEDIAN(N190:N196)-N190-(MEDIAN($R$190:$T$196)-MEDIAN($R$190:$T$190))</f>
        <v>0</v>
      </c>
      <c r="AI22" s="372">
        <f>MEDIAN(O190:O196)-O190-(MEDIAN($R$190:$T$196)-MEDIAN($R$190:$T$190))</f>
        <v>0</v>
      </c>
      <c r="AJ22" s="372">
        <f>MEDIAN(P190:P196)-P190-(MEDIAN($R$190:$T$196)-MEDIAN($R$190:$T$190))</f>
        <v>0</v>
      </c>
      <c r="AK22" s="372">
        <f>MEDIAN(Q190:Q196)-Q190-(MEDIAN($R$190:$T$196)-MEDIAN($R$190:$T$190))</f>
        <v>0</v>
      </c>
      <c r="AL22" s="372">
        <f>MEDIAN(R190:R196)-R190</f>
        <v>3</v>
      </c>
      <c r="AM22" s="372">
        <f>MEDIAN(S190:S196)-S190</f>
        <v>3</v>
      </c>
      <c r="AN22" s="372">
        <f>MEDIAN(T190:T196)-T190</f>
        <v>3</v>
      </c>
      <c r="AO22" s="70"/>
      <c r="BB22" s="141"/>
      <c r="BC22" s="141"/>
      <c r="BD22" s="141"/>
      <c r="BE22" s="141"/>
      <c r="BF22" s="141"/>
      <c r="BG22" s="141"/>
      <c r="BH22" s="141"/>
      <c r="BI22" s="141"/>
      <c r="BJ22" s="141"/>
    </row>
    <row r="23" spans="2:62" ht="14.1" customHeight="1">
      <c r="B23" s="98"/>
      <c r="C23" s="357"/>
      <c r="D23" s="357"/>
      <c r="E23" s="357"/>
      <c r="F23" s="357"/>
      <c r="G23" s="357"/>
      <c r="H23" s="357"/>
      <c r="I23" s="357"/>
      <c r="J23" s="357"/>
      <c r="K23" s="357"/>
      <c r="L23" s="357"/>
      <c r="M23" s="357"/>
      <c r="N23" s="77"/>
      <c r="O23" s="77"/>
      <c r="P23" s="77"/>
      <c r="Q23" s="77"/>
      <c r="R23" s="77"/>
      <c r="S23" s="77"/>
      <c r="T23" s="77"/>
      <c r="U23" s="77"/>
      <c r="V23" s="96"/>
      <c r="X23" s="16" t="s">
        <v>126</v>
      </c>
      <c r="Y23" s="372">
        <f>MEDIAN(E196:E202)-E196-(MEDIAN($R$196:$T$202)-MEDIAN($R$196:$T$196))</f>
        <v>0</v>
      </c>
      <c r="Z23" s="372">
        <f>MEDIAN(F196:F202)-F196-(MEDIAN($R$196:$T$202)-MEDIAN($R$196:$T$196))</f>
        <v>0</v>
      </c>
      <c r="AA23" s="372">
        <f>MEDIAN(G196:G202)-G196-(MEDIAN($R$196:$T$202)-MEDIAN($R$196:$T$196))</f>
        <v>0</v>
      </c>
      <c r="AB23" s="372">
        <f>MEDIAN(H196:H202)-H196-(MEDIAN($R$196:$T$202)-MEDIAN($R$196:$T$196))</f>
        <v>0</v>
      </c>
      <c r="AC23" s="372">
        <f>MEDIAN(I196:I202)-I196-(MEDIAN($R$196:$T$202)-MEDIAN($R$196:$T$196))</f>
        <v>0</v>
      </c>
      <c r="AD23" s="372">
        <f>MEDIAN(J196:J202)-J196-(MEDIAN($R$196:$T$202)-MEDIAN($R$196:$T$196))</f>
        <v>0</v>
      </c>
      <c r="AE23" s="372">
        <f>MEDIAN(K196:K202)-K196-(MEDIAN($R$196:$T$202)-MEDIAN($R$196:$T$196))</f>
        <v>0</v>
      </c>
      <c r="AF23" s="372">
        <f>MEDIAN(L196:L202)-L196-(MEDIAN($R$196:$T$202)-MEDIAN($R$196:$T$196))</f>
        <v>0</v>
      </c>
      <c r="AG23" s="372">
        <f>MEDIAN(M196:M202)-M196-(MEDIAN($R$196:$T$202)-MEDIAN($R$196:$T$196))</f>
        <v>0</v>
      </c>
      <c r="AH23" s="372">
        <f>MEDIAN(N196:N202)-N196-(MEDIAN($R$196:$T$202)-MEDIAN($R$196:$T$196))</f>
        <v>0</v>
      </c>
      <c r="AI23" s="372">
        <f>MEDIAN(O196:O202)-O196-(MEDIAN($R$196:$T$202)-MEDIAN($R$196:$T$196))</f>
        <v>0</v>
      </c>
      <c r="AJ23" s="372">
        <f>MEDIAN(P196:P202)-P196-(MEDIAN($R$196:$T$202)-MEDIAN($R$196:$T$196))</f>
        <v>0</v>
      </c>
      <c r="AK23" s="372">
        <f>MEDIAN(Q196:Q202)-Q196-(MEDIAN($R$196:$T$202)-MEDIAN($R$196:$T$196))</f>
        <v>0</v>
      </c>
      <c r="AL23" s="372">
        <f>MEDIAN(R196:R202)-R196</f>
        <v>3</v>
      </c>
      <c r="AM23" s="372">
        <f>MEDIAN(S196:S202)-S196</f>
        <v>3</v>
      </c>
      <c r="AN23" s="372">
        <f>MEDIAN(T196:T202)-T196</f>
        <v>3</v>
      </c>
      <c r="AO23" s="70"/>
      <c r="BB23" s="141"/>
      <c r="BC23" s="141"/>
      <c r="BD23" s="141"/>
      <c r="BE23" s="141"/>
      <c r="BF23" s="141"/>
      <c r="BG23" s="141"/>
      <c r="BH23" s="141"/>
      <c r="BI23" s="141"/>
      <c r="BJ23" s="141"/>
    </row>
    <row r="24" spans="2:62" ht="14.1" customHeight="1">
      <c r="B24" s="98"/>
      <c r="C24" s="357"/>
      <c r="D24" s="357"/>
      <c r="E24" s="357"/>
      <c r="F24" s="357"/>
      <c r="G24" s="357"/>
      <c r="H24" s="357"/>
      <c r="I24" s="357"/>
      <c r="J24" s="357"/>
      <c r="K24" s="357"/>
      <c r="L24" s="357"/>
      <c r="M24" s="357"/>
      <c r="N24" s="77"/>
      <c r="O24" s="77"/>
      <c r="P24" s="77"/>
      <c r="Q24" s="77"/>
      <c r="R24" s="77"/>
      <c r="S24" s="77"/>
      <c r="T24" s="77"/>
      <c r="U24" s="77"/>
      <c r="V24" s="96"/>
      <c r="X24" s="16" t="s">
        <v>127</v>
      </c>
      <c r="Y24" s="372">
        <f>MEDIAN(E202:E208)-E202-(MEDIAN($R$202:$T$208)-MEDIAN($R$202:$T$202))</f>
        <v>0</v>
      </c>
      <c r="Z24" s="372">
        <f>MEDIAN(F202:F208)-F202-(MEDIAN($R$202:$T$208)-MEDIAN($R$202:$T$202))</f>
        <v>0</v>
      </c>
      <c r="AA24" s="372">
        <f>MEDIAN(G202:G208)-G202-(MEDIAN($R$202:$T$208)-MEDIAN($R$202:$T$202))</f>
        <v>0</v>
      </c>
      <c r="AB24" s="372">
        <f>MEDIAN(H202:H208)-H202-(MEDIAN($R$202:$T$208)-MEDIAN($R$202:$T$202))</f>
        <v>0</v>
      </c>
      <c r="AC24" s="372">
        <f>MEDIAN(I202:I208)-I202-(MEDIAN($R$202:$T$208)-MEDIAN($R$202:$T$202))</f>
        <v>0</v>
      </c>
      <c r="AD24" s="372">
        <f>MEDIAN(J202:J208)-J202-(MEDIAN($R$202:$T$208)-MEDIAN($R$202:$T$202))</f>
        <v>0</v>
      </c>
      <c r="AE24" s="372">
        <f>MEDIAN(K202:K208)-K202-(MEDIAN($R$202:$T$208)-MEDIAN($R$202:$T$202))</f>
        <v>0</v>
      </c>
      <c r="AF24" s="372">
        <f>MEDIAN(L202:L208)-L202-(MEDIAN($R$202:$T$208)-MEDIAN($R$202:$T$202))</f>
        <v>0</v>
      </c>
      <c r="AG24" s="372">
        <f>MEDIAN(M202:M208)-M202-(MEDIAN($R$202:$T$208)-MEDIAN($R$202:$T$202))</f>
        <v>0</v>
      </c>
      <c r="AH24" s="372">
        <f>MEDIAN(N202:N208)-N202-(MEDIAN($R$202:$T$208)-MEDIAN($R$202:$T$202))</f>
        <v>0</v>
      </c>
      <c r="AI24" s="372">
        <f>MEDIAN(O202:O208)-O202-(MEDIAN($R$202:$T$208)-MEDIAN($R$202:$T$202))</f>
        <v>0</v>
      </c>
      <c r="AJ24" s="372">
        <f>MEDIAN(P202:P208)-P202-(MEDIAN($R$202:$T$208)-MEDIAN($R$202:$T$202))</f>
        <v>0</v>
      </c>
      <c r="AK24" s="372">
        <f>MEDIAN(Q202:Q208)-Q202-(MEDIAN($R$202:$T$208)-MEDIAN($R$202:$T$202))</f>
        <v>0</v>
      </c>
      <c r="AL24" s="372">
        <f>MEDIAN(R202:R208)-R202</f>
        <v>3</v>
      </c>
      <c r="AM24" s="372">
        <f>MEDIAN(S202:S208)-S202</f>
        <v>3</v>
      </c>
      <c r="AN24" s="372">
        <f>MEDIAN(T202:T208)-T202</f>
        <v>3</v>
      </c>
      <c r="AO24" s="70"/>
      <c r="BB24" s="141"/>
      <c r="BC24" s="141"/>
      <c r="BD24" s="141"/>
      <c r="BE24" s="141"/>
      <c r="BF24" s="141"/>
      <c r="BG24" s="141"/>
      <c r="BH24" s="141"/>
      <c r="BI24" s="141"/>
      <c r="BJ24" s="141"/>
    </row>
    <row r="25" spans="2:62" ht="14.1" customHeight="1">
      <c r="B25" s="98"/>
      <c r="C25" s="357"/>
      <c r="D25" s="357"/>
      <c r="E25" s="357"/>
      <c r="F25" s="357"/>
      <c r="G25" s="357"/>
      <c r="H25" s="357"/>
      <c r="I25" s="357"/>
      <c r="J25" s="357"/>
      <c r="K25" s="357"/>
      <c r="L25" s="357"/>
      <c r="M25" s="357"/>
      <c r="N25" s="77"/>
      <c r="O25" s="77"/>
      <c r="P25" s="77"/>
      <c r="Q25" s="77"/>
      <c r="R25" s="77"/>
      <c r="S25" s="77"/>
      <c r="T25" s="77"/>
      <c r="U25" s="77"/>
      <c r="V25" s="96"/>
      <c r="X25" s="66"/>
      <c r="Y25" s="67"/>
      <c r="Z25" s="67"/>
      <c r="AA25" s="67"/>
      <c r="AB25" s="67"/>
      <c r="AC25" s="67"/>
      <c r="AD25" s="67"/>
      <c r="AE25" s="67"/>
      <c r="AF25" s="67"/>
      <c r="AI25" s="70"/>
      <c r="AJ25" s="70"/>
      <c r="AK25" s="70"/>
      <c r="AO25" s="70"/>
      <c r="BB25" s="141"/>
      <c r="BC25" s="141"/>
      <c r="BD25" s="141"/>
      <c r="BE25" s="141"/>
      <c r="BF25" s="141"/>
      <c r="BG25" s="141"/>
      <c r="BH25" s="141"/>
      <c r="BI25" s="141"/>
      <c r="BJ25" s="141"/>
    </row>
    <row r="26" spans="2:62" ht="14.1" customHeight="1">
      <c r="B26" s="98"/>
      <c r="C26" s="357"/>
      <c r="D26" s="357"/>
      <c r="E26" s="357"/>
      <c r="F26" s="357"/>
      <c r="G26" s="357"/>
      <c r="H26" s="357"/>
      <c r="I26" s="357"/>
      <c r="J26" s="357"/>
      <c r="K26" s="357"/>
      <c r="L26" s="357"/>
      <c r="M26" s="357"/>
      <c r="N26" s="77"/>
      <c r="O26" s="77"/>
      <c r="P26" s="77"/>
      <c r="Q26" s="77"/>
      <c r="R26" s="77"/>
      <c r="S26" s="77"/>
      <c r="T26" s="77"/>
      <c r="U26" s="77"/>
      <c r="V26" s="96"/>
      <c r="W26" s="142"/>
      <c r="X26" s="66"/>
      <c r="AD26" s="67"/>
      <c r="AE26" s="67"/>
      <c r="AF26" s="67"/>
      <c r="AI26" s="70"/>
      <c r="AJ26" s="70"/>
      <c r="AK26" s="70"/>
      <c r="AL26" s="70"/>
      <c r="AM26" s="70"/>
      <c r="AN26" s="70"/>
      <c r="AO26" s="70"/>
      <c r="BB26" s="141"/>
      <c r="BC26" s="141"/>
      <c r="BD26" s="141"/>
      <c r="BE26" s="141"/>
      <c r="BF26" s="141"/>
      <c r="BG26" s="141"/>
      <c r="BH26" s="141"/>
      <c r="BI26" s="141"/>
      <c r="BJ26" s="141"/>
    </row>
    <row r="27" spans="2:62" ht="14.1" customHeight="1">
      <c r="B27" s="98"/>
      <c r="C27" s="357"/>
      <c r="D27" s="357"/>
      <c r="E27" s="357"/>
      <c r="F27" s="357"/>
      <c r="G27" s="357"/>
      <c r="H27" s="357"/>
      <c r="I27" s="357"/>
      <c r="J27" s="357"/>
      <c r="K27" s="357"/>
      <c r="L27" s="357"/>
      <c r="M27" s="357"/>
      <c r="N27" s="77"/>
      <c r="O27" s="77"/>
      <c r="P27" s="77"/>
      <c r="Q27" s="77"/>
      <c r="R27" s="77"/>
      <c r="S27" s="77"/>
      <c r="T27" s="77"/>
      <c r="U27" s="77"/>
      <c r="V27" s="96"/>
      <c r="X27" s="66"/>
      <c r="AD27" s="67"/>
      <c r="AE27" s="67"/>
      <c r="AF27" s="67"/>
      <c r="AI27" s="70"/>
      <c r="AJ27" s="70"/>
      <c r="AK27" s="70"/>
      <c r="AL27" s="70"/>
      <c r="AM27" s="70"/>
      <c r="AN27" s="70"/>
      <c r="AO27" s="70"/>
      <c r="BB27" s="141"/>
      <c r="BC27" s="141"/>
      <c r="BD27" s="141"/>
      <c r="BE27" s="141"/>
      <c r="BF27" s="141"/>
      <c r="BG27" s="143" t="s">
        <v>56</v>
      </c>
      <c r="BH27" s="141">
        <v>225</v>
      </c>
      <c r="BI27" s="141"/>
      <c r="BJ27" s="141"/>
    </row>
    <row r="28" spans="2:62" ht="14.1" customHeight="1">
      <c r="B28" s="98"/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77"/>
      <c r="O28" s="77"/>
      <c r="P28" s="77"/>
      <c r="Q28" s="77"/>
      <c r="R28" s="77"/>
      <c r="S28" s="77"/>
      <c r="T28" s="77"/>
      <c r="U28" s="77"/>
      <c r="V28" s="96"/>
      <c r="X28" s="66"/>
      <c r="AD28" s="67"/>
      <c r="AE28" s="67"/>
      <c r="AF28" s="67"/>
      <c r="AI28" s="70"/>
      <c r="AJ28" s="70"/>
      <c r="AK28" s="70"/>
      <c r="AL28" s="70"/>
      <c r="AM28" s="70"/>
      <c r="AN28" s="70"/>
      <c r="AO28" s="70"/>
      <c r="BB28" s="141"/>
      <c r="BC28" s="141"/>
      <c r="BD28" s="141"/>
      <c r="BE28" s="141"/>
      <c r="BF28" s="141"/>
      <c r="BG28" s="141"/>
      <c r="BH28" s="141"/>
      <c r="BI28" s="141"/>
      <c r="BJ28" s="141"/>
    </row>
    <row r="29" spans="2:62" ht="14.1" customHeight="1">
      <c r="B29" s="98"/>
      <c r="C29" s="77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96"/>
      <c r="X29" s="66"/>
      <c r="AD29" s="67"/>
      <c r="AE29" s="67"/>
      <c r="AF29" s="67"/>
      <c r="AI29" s="70"/>
      <c r="AJ29" s="70"/>
      <c r="AK29" s="70"/>
      <c r="AL29" s="70"/>
      <c r="AM29" s="70"/>
      <c r="AN29" s="70"/>
      <c r="AO29" s="70"/>
      <c r="BB29" s="141"/>
      <c r="BC29" s="141"/>
      <c r="BD29" s="141"/>
      <c r="BE29" s="141"/>
      <c r="BF29" s="141"/>
      <c r="BG29" s="141"/>
      <c r="BH29" s="141"/>
      <c r="BI29" s="141"/>
      <c r="BJ29" s="141"/>
    </row>
    <row r="30" spans="2:62" ht="14.1" customHeight="1">
      <c r="B30" s="98"/>
      <c r="C30" s="77"/>
      <c r="D30" s="77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96"/>
      <c r="X30" s="66"/>
      <c r="AD30" s="67"/>
      <c r="AE30" s="67"/>
      <c r="AF30" s="67"/>
      <c r="AI30" s="70"/>
      <c r="AJ30" s="70"/>
      <c r="AK30" s="70"/>
      <c r="AL30" s="70"/>
      <c r="AM30" s="70"/>
      <c r="AN30" s="70"/>
      <c r="AO30" s="70"/>
      <c r="BB30" s="141"/>
      <c r="BC30" s="141"/>
      <c r="BD30" s="141"/>
      <c r="BE30" s="141"/>
      <c r="BF30" s="141"/>
      <c r="BG30" s="141"/>
      <c r="BH30" s="141"/>
      <c r="BI30" s="141"/>
      <c r="BJ30" s="141"/>
    </row>
    <row r="31" spans="2:62" ht="14.1" customHeight="1">
      <c r="B31" s="98"/>
      <c r="C31" s="77"/>
      <c r="D31" s="77"/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77"/>
      <c r="Q31" s="77"/>
      <c r="R31" s="77"/>
      <c r="S31" s="77"/>
      <c r="T31" s="77"/>
      <c r="U31" s="77"/>
      <c r="V31" s="96"/>
      <c r="X31" s="66"/>
      <c r="AD31" s="67"/>
      <c r="AE31" s="67"/>
      <c r="AF31" s="67"/>
      <c r="AI31" s="70"/>
      <c r="AJ31" s="70"/>
      <c r="AK31" s="70"/>
      <c r="AL31" s="70"/>
      <c r="AM31" s="70"/>
      <c r="AN31" s="70"/>
      <c r="AO31" s="70"/>
      <c r="BB31" s="141"/>
      <c r="BC31" s="141"/>
      <c r="BD31" s="141"/>
      <c r="BE31" s="141"/>
      <c r="BF31" s="141"/>
      <c r="BG31" s="141"/>
      <c r="BH31" s="141"/>
      <c r="BI31" s="141"/>
      <c r="BJ31" s="141"/>
    </row>
    <row r="32" spans="2:62" ht="14.1" customHeight="1">
      <c r="B32" s="289" t="s">
        <v>47</v>
      </c>
      <c r="C32" s="290"/>
      <c r="D32" s="290"/>
      <c r="E32" s="290"/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0"/>
      <c r="U32" s="290"/>
      <c r="V32" s="291"/>
      <c r="X32" s="66"/>
      <c r="AD32" s="67"/>
      <c r="AE32" s="67"/>
      <c r="AF32" s="67"/>
      <c r="AI32" s="70"/>
      <c r="AJ32" s="70"/>
      <c r="AK32" s="70"/>
      <c r="AL32" s="70"/>
      <c r="AM32" s="70"/>
      <c r="AN32" s="70"/>
      <c r="AO32" s="70"/>
      <c r="BB32" s="141"/>
      <c r="BC32" s="141"/>
      <c r="BD32" s="141"/>
      <c r="BE32" s="141"/>
      <c r="BF32" s="141"/>
      <c r="BG32" s="141"/>
      <c r="BH32" s="141"/>
      <c r="BI32" s="141"/>
      <c r="BJ32" s="141"/>
    </row>
    <row r="33" spans="2:62" ht="14.1" customHeight="1" thickBot="1">
      <c r="B33" s="98"/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96"/>
      <c r="X33" s="66"/>
      <c r="AD33" s="67"/>
      <c r="AE33" s="67"/>
      <c r="AF33" s="67"/>
      <c r="AI33" s="70"/>
      <c r="AJ33" s="70"/>
      <c r="AK33" s="70"/>
      <c r="AL33" s="70"/>
      <c r="AM33" s="70"/>
      <c r="AN33" s="70"/>
      <c r="AO33" s="70"/>
      <c r="BB33" s="141"/>
      <c r="BC33" s="141"/>
      <c r="BD33" s="141"/>
      <c r="BE33" s="141"/>
      <c r="BF33" s="141"/>
      <c r="BG33" s="141"/>
      <c r="BH33" s="141"/>
      <c r="BI33" s="141"/>
      <c r="BJ33" s="141"/>
    </row>
    <row r="34" spans="2:62" ht="18">
      <c r="B34" s="98"/>
      <c r="C34" s="77"/>
      <c r="D34" s="77"/>
      <c r="E34" s="77"/>
      <c r="F34" s="77"/>
      <c r="G34" s="77"/>
      <c r="H34" s="77"/>
      <c r="I34" s="358" t="s">
        <v>60</v>
      </c>
      <c r="J34" s="359"/>
      <c r="K34" s="359"/>
      <c r="L34" s="359"/>
      <c r="M34" s="360"/>
      <c r="N34" s="362">
        <v>2.444</v>
      </c>
      <c r="O34" s="364" t="str">
        <f>Q269</f>
        <v>mΩ</v>
      </c>
      <c r="P34" s="77"/>
      <c r="Q34" s="77"/>
      <c r="R34" s="77"/>
      <c r="S34" s="77"/>
      <c r="T34" s="77"/>
      <c r="U34" s="77"/>
      <c r="V34" s="96"/>
      <c r="X34" s="66"/>
      <c r="AD34" s="67"/>
      <c r="AE34" s="67"/>
      <c r="AF34" s="67"/>
      <c r="AI34" s="70"/>
      <c r="AJ34" s="70"/>
      <c r="AK34" s="70"/>
      <c r="AL34" s="70"/>
      <c r="AM34" s="70"/>
      <c r="AN34" s="70"/>
      <c r="AO34" s="70"/>
      <c r="BB34" s="141"/>
      <c r="BC34" s="141"/>
    </row>
    <row r="35" spans="2:62" ht="11.1" customHeight="1">
      <c r="B35" s="98"/>
      <c r="C35" s="77"/>
      <c r="D35" s="77"/>
      <c r="E35" s="77"/>
      <c r="F35" s="77"/>
      <c r="G35" s="77"/>
      <c r="H35" s="77"/>
      <c r="I35" s="331"/>
      <c r="J35" s="361"/>
      <c r="K35" s="361"/>
      <c r="L35" s="361"/>
      <c r="M35" s="332"/>
      <c r="N35" s="363"/>
      <c r="O35" s="365"/>
      <c r="P35" s="77"/>
      <c r="Q35" s="77"/>
      <c r="R35" s="77"/>
      <c r="S35" s="77"/>
      <c r="T35" s="77"/>
      <c r="U35" s="77"/>
      <c r="V35" s="96"/>
      <c r="X35" s="66"/>
      <c r="AD35" s="67"/>
      <c r="AE35" s="67"/>
      <c r="AF35" s="67"/>
      <c r="AI35" s="70"/>
      <c r="AJ35" s="70"/>
      <c r="AK35" s="70"/>
      <c r="AL35" s="70"/>
      <c r="AM35" s="70"/>
      <c r="AN35" s="70"/>
      <c r="AO35" s="70"/>
      <c r="BB35" s="141"/>
      <c r="BC35" s="141"/>
    </row>
    <row r="36" spans="2:62" ht="18">
      <c r="B36" s="98"/>
      <c r="C36" s="77"/>
      <c r="D36" s="77"/>
      <c r="E36" s="77"/>
      <c r="F36" s="77"/>
      <c r="G36" s="77"/>
      <c r="H36" s="77"/>
      <c r="I36" s="331" t="s">
        <v>80</v>
      </c>
      <c r="J36" s="332"/>
      <c r="K36" s="332"/>
      <c r="L36" s="332"/>
      <c r="M36" s="332"/>
      <c r="N36" s="335">
        <v>21.5</v>
      </c>
      <c r="O36" s="337" t="str">
        <f>Q270</f>
        <v xml:space="preserve"> °C</v>
      </c>
      <c r="P36" s="77"/>
      <c r="Q36" s="77"/>
      <c r="R36" s="77"/>
      <c r="S36" s="77"/>
      <c r="T36" s="77"/>
      <c r="U36" s="77"/>
      <c r="V36" s="96"/>
      <c r="X36" s="66"/>
      <c r="AD36" s="67"/>
      <c r="AE36" s="67"/>
      <c r="AF36" s="67"/>
      <c r="AI36" s="70"/>
      <c r="AJ36" s="70"/>
      <c r="AK36" s="70"/>
      <c r="AL36" s="70"/>
      <c r="AM36" s="70"/>
      <c r="AN36" s="70"/>
      <c r="AO36" s="70"/>
      <c r="BB36" s="141"/>
      <c r="BC36" s="141"/>
    </row>
    <row r="37" spans="2:62" ht="11.1" customHeight="1" thickBot="1">
      <c r="B37" s="98"/>
      <c r="C37" s="77"/>
      <c r="D37" s="77"/>
      <c r="E37" s="77"/>
      <c r="F37" s="77"/>
      <c r="G37" s="77"/>
      <c r="H37" s="77"/>
      <c r="I37" s="333"/>
      <c r="J37" s="334"/>
      <c r="K37" s="334"/>
      <c r="L37" s="334"/>
      <c r="M37" s="334"/>
      <c r="N37" s="336"/>
      <c r="O37" s="338"/>
      <c r="P37" s="77"/>
      <c r="Q37" s="77"/>
      <c r="R37" s="77"/>
      <c r="S37" s="77"/>
      <c r="T37" s="77"/>
      <c r="U37" s="77"/>
      <c r="V37" s="96"/>
      <c r="X37" s="66"/>
      <c r="AD37" s="67"/>
      <c r="AE37" s="67"/>
      <c r="AF37" s="67"/>
      <c r="AI37" s="70"/>
      <c r="AJ37" s="70"/>
      <c r="AK37" s="70"/>
      <c r="AL37" s="70"/>
      <c r="AM37" s="70"/>
      <c r="AN37" s="70"/>
      <c r="AO37" s="70"/>
      <c r="BB37" s="141"/>
      <c r="BC37" s="141"/>
    </row>
    <row r="38" spans="2:62" ht="14.1" customHeight="1">
      <c r="B38" s="98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96"/>
      <c r="X38" s="66"/>
      <c r="AD38" s="67"/>
      <c r="AE38" s="67"/>
      <c r="AF38" s="67"/>
      <c r="AI38" s="70"/>
      <c r="AJ38" s="70"/>
      <c r="AK38" s="70"/>
      <c r="AL38" s="70"/>
      <c r="AM38" s="70"/>
      <c r="AN38" s="70"/>
      <c r="AO38" s="70"/>
      <c r="BB38" s="141"/>
      <c r="BC38" s="141"/>
    </row>
    <row r="39" spans="2:62" ht="14.1" customHeight="1">
      <c r="B39" s="289" t="s">
        <v>48</v>
      </c>
      <c r="C39" s="290"/>
      <c r="D39" s="290"/>
      <c r="E39" s="290"/>
      <c r="F39" s="290"/>
      <c r="G39" s="290"/>
      <c r="H39" s="290"/>
      <c r="I39" s="290"/>
      <c r="J39" s="290"/>
      <c r="K39" s="290"/>
      <c r="L39" s="290"/>
      <c r="M39" s="290"/>
      <c r="N39" s="290"/>
      <c r="O39" s="290"/>
      <c r="P39" s="290"/>
      <c r="Q39" s="290"/>
      <c r="R39" s="290"/>
      <c r="S39" s="290"/>
      <c r="T39" s="290"/>
      <c r="U39" s="290"/>
      <c r="V39" s="291"/>
      <c r="X39" s="66"/>
      <c r="AD39" s="67"/>
      <c r="AE39" s="67"/>
      <c r="AF39" s="67"/>
      <c r="AI39" s="70"/>
      <c r="AJ39" s="70"/>
      <c r="AK39" s="70"/>
      <c r="AL39" s="70"/>
      <c r="AM39" s="70"/>
      <c r="AN39" s="70"/>
      <c r="AO39" s="70"/>
      <c r="BB39" s="141"/>
      <c r="BC39" s="141"/>
    </row>
    <row r="40" spans="2:62" ht="14.1" customHeight="1">
      <c r="B40" s="98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96"/>
      <c r="X40" s="66"/>
      <c r="AD40" s="67"/>
      <c r="AE40" s="67"/>
      <c r="AF40" s="67"/>
      <c r="AI40" s="70"/>
      <c r="AJ40" s="70"/>
      <c r="AK40" s="70"/>
      <c r="AL40" s="70"/>
      <c r="AM40" s="70"/>
      <c r="AN40" s="70"/>
      <c r="AO40" s="70"/>
      <c r="BB40" s="141"/>
      <c r="BC40" s="141"/>
    </row>
    <row r="41" spans="2:62" ht="11.1" customHeight="1">
      <c r="B41" s="98"/>
      <c r="C41" s="77"/>
      <c r="D41" s="77"/>
      <c r="E41" s="77"/>
      <c r="F41" s="77"/>
      <c r="G41" s="77"/>
      <c r="H41" s="323" t="s">
        <v>49</v>
      </c>
      <c r="I41" s="324"/>
      <c r="J41" s="339" t="s">
        <v>50</v>
      </c>
      <c r="K41" s="340"/>
      <c r="L41" s="340"/>
      <c r="M41" s="340"/>
      <c r="N41" s="340"/>
      <c r="O41" s="340"/>
      <c r="P41" s="341"/>
      <c r="Q41" s="77"/>
      <c r="R41" s="77"/>
      <c r="S41" s="77"/>
      <c r="T41" s="77"/>
      <c r="U41" s="77"/>
      <c r="V41" s="96"/>
      <c r="X41" s="66"/>
      <c r="AD41" s="67"/>
      <c r="AE41" s="67"/>
      <c r="AF41" s="67"/>
      <c r="AI41" s="70"/>
      <c r="AJ41" s="70"/>
      <c r="AK41" s="70"/>
      <c r="AL41" s="70"/>
      <c r="AM41" s="70"/>
      <c r="AN41" s="70"/>
      <c r="AO41" s="70"/>
      <c r="BB41" s="141"/>
      <c r="BC41" s="141"/>
    </row>
    <row r="42" spans="2:62" ht="18">
      <c r="B42" s="98"/>
      <c r="C42" s="77"/>
      <c r="D42" s="77"/>
      <c r="E42" s="77"/>
      <c r="F42" s="77"/>
      <c r="G42" s="77"/>
      <c r="H42" s="324"/>
      <c r="I42" s="324"/>
      <c r="J42" s="342"/>
      <c r="K42" s="343"/>
      <c r="L42" s="343"/>
      <c r="M42" s="343"/>
      <c r="N42" s="343"/>
      <c r="O42" s="343"/>
      <c r="P42" s="344"/>
      <c r="Q42" s="77"/>
      <c r="R42" s="77"/>
      <c r="S42" s="77"/>
      <c r="T42" s="77"/>
      <c r="U42" s="77"/>
      <c r="V42" s="96"/>
      <c r="X42" s="13"/>
      <c r="AK42" s="70"/>
      <c r="AL42" s="70"/>
      <c r="AM42" s="70"/>
      <c r="AN42" s="70"/>
      <c r="AO42" s="70"/>
      <c r="BB42" s="141"/>
      <c r="BC42" s="141"/>
    </row>
    <row r="43" spans="2:62" ht="18">
      <c r="B43" s="98"/>
      <c r="C43" s="77"/>
      <c r="D43" s="77"/>
      <c r="E43" s="77"/>
      <c r="F43" s="77"/>
      <c r="G43" s="77"/>
      <c r="H43" s="323" t="s">
        <v>3</v>
      </c>
      <c r="I43" s="324"/>
      <c r="J43" s="325"/>
      <c r="K43" s="326"/>
      <c r="L43" s="326"/>
      <c r="M43" s="326"/>
      <c r="N43" s="326"/>
      <c r="O43" s="326"/>
      <c r="P43" s="327"/>
      <c r="Q43" s="77"/>
      <c r="R43" s="77"/>
      <c r="S43" s="77"/>
      <c r="T43" s="77"/>
      <c r="U43" s="77"/>
      <c r="V43" s="96"/>
      <c r="X43" s="13"/>
      <c r="AK43" s="70"/>
      <c r="AL43" s="70"/>
      <c r="AM43" s="70"/>
      <c r="AN43" s="70"/>
      <c r="AO43" s="70"/>
      <c r="BB43" s="141"/>
      <c r="BC43" s="141"/>
    </row>
    <row r="44" spans="2:62" ht="12.75" customHeight="1">
      <c r="B44" s="98"/>
      <c r="C44" s="77"/>
      <c r="D44" s="77"/>
      <c r="E44" s="77"/>
      <c r="F44" s="77"/>
      <c r="G44" s="77"/>
      <c r="H44" s="324"/>
      <c r="I44" s="324"/>
      <c r="J44" s="328"/>
      <c r="K44" s="329"/>
      <c r="L44" s="329"/>
      <c r="M44" s="329"/>
      <c r="N44" s="329"/>
      <c r="O44" s="329"/>
      <c r="P44" s="330"/>
      <c r="Q44" s="77"/>
      <c r="R44" s="77"/>
      <c r="S44" s="77"/>
      <c r="T44" s="77"/>
      <c r="U44" s="77"/>
      <c r="V44" s="96"/>
      <c r="X44" s="13"/>
      <c r="AK44" s="70"/>
      <c r="AL44" s="70"/>
      <c r="AM44" s="70"/>
      <c r="AN44" s="70"/>
      <c r="AO44" s="70"/>
      <c r="BB44" s="141"/>
      <c r="BC44" s="141"/>
    </row>
    <row r="45" spans="2:62" ht="11.1" customHeight="1">
      <c r="B45" s="98"/>
      <c r="C45" s="77"/>
      <c r="D45" s="77"/>
      <c r="E45" s="77"/>
      <c r="F45" s="77"/>
      <c r="G45" s="77"/>
      <c r="H45" s="323" t="s">
        <v>4</v>
      </c>
      <c r="I45" s="324"/>
      <c r="J45" s="325"/>
      <c r="K45" s="326"/>
      <c r="L45" s="326"/>
      <c r="M45" s="326"/>
      <c r="N45" s="326"/>
      <c r="O45" s="326"/>
      <c r="P45" s="327"/>
      <c r="Q45" s="77"/>
      <c r="R45" s="77"/>
      <c r="S45" s="77"/>
      <c r="T45" s="77"/>
      <c r="U45" s="77"/>
      <c r="V45" s="96"/>
      <c r="X45" s="13"/>
      <c r="AK45" s="70"/>
      <c r="AL45" s="70"/>
      <c r="AM45" s="70"/>
      <c r="AN45" s="70"/>
      <c r="AO45" s="70"/>
      <c r="BB45" s="141"/>
      <c r="BC45" s="141"/>
    </row>
    <row r="46" spans="2:62" ht="18">
      <c r="B46" s="98"/>
      <c r="C46" s="77"/>
      <c r="D46" s="77"/>
      <c r="E46" s="77"/>
      <c r="F46" s="77"/>
      <c r="G46" s="77"/>
      <c r="H46" s="324"/>
      <c r="I46" s="324"/>
      <c r="J46" s="328"/>
      <c r="K46" s="329"/>
      <c r="L46" s="329"/>
      <c r="M46" s="329"/>
      <c r="N46" s="329"/>
      <c r="O46" s="329"/>
      <c r="P46" s="330"/>
      <c r="Q46" s="77"/>
      <c r="R46" s="77"/>
      <c r="S46" s="77"/>
      <c r="T46" s="77"/>
      <c r="U46" s="77"/>
      <c r="V46" s="96"/>
      <c r="X46" s="13"/>
      <c r="AK46" s="70"/>
      <c r="AL46" s="70"/>
      <c r="AM46" s="70"/>
      <c r="AN46" s="70"/>
      <c r="AO46" s="70"/>
      <c r="BB46" s="141"/>
      <c r="BC46" s="141"/>
    </row>
    <row r="47" spans="2:62" ht="18">
      <c r="B47" s="98"/>
      <c r="C47" s="77"/>
      <c r="D47" s="77"/>
      <c r="E47" s="77"/>
      <c r="F47" s="77"/>
      <c r="G47" s="77"/>
      <c r="H47" s="323" t="s">
        <v>5</v>
      </c>
      <c r="I47" s="324"/>
      <c r="J47" s="325"/>
      <c r="K47" s="326"/>
      <c r="L47" s="326"/>
      <c r="M47" s="326"/>
      <c r="N47" s="326"/>
      <c r="O47" s="326"/>
      <c r="P47" s="327"/>
      <c r="Q47" s="77"/>
      <c r="R47" s="77"/>
      <c r="S47" s="77"/>
      <c r="T47" s="77"/>
      <c r="U47" s="77"/>
      <c r="V47" s="96"/>
      <c r="X47" s="13"/>
      <c r="AK47" s="70"/>
      <c r="AL47" s="70"/>
      <c r="AM47" s="70"/>
      <c r="AN47" s="70"/>
      <c r="AO47" s="70"/>
      <c r="BB47" s="141"/>
      <c r="BC47" s="141"/>
    </row>
    <row r="48" spans="2:62" ht="11.1" customHeight="1">
      <c r="B48" s="98"/>
      <c r="C48" s="77"/>
      <c r="D48" s="77"/>
      <c r="E48" s="77"/>
      <c r="F48" s="77"/>
      <c r="G48" s="77"/>
      <c r="H48" s="324"/>
      <c r="I48" s="324"/>
      <c r="J48" s="328"/>
      <c r="K48" s="329"/>
      <c r="L48" s="329"/>
      <c r="M48" s="329"/>
      <c r="N48" s="329"/>
      <c r="O48" s="329"/>
      <c r="P48" s="330"/>
      <c r="Q48" s="77"/>
      <c r="R48" s="77"/>
      <c r="S48" s="77"/>
      <c r="T48" s="77"/>
      <c r="U48" s="77"/>
      <c r="V48" s="96"/>
      <c r="X48" s="13"/>
      <c r="AK48" s="70"/>
      <c r="AL48" s="70"/>
      <c r="AM48" s="70"/>
      <c r="AN48" s="70"/>
      <c r="AO48" s="70"/>
      <c r="BB48" s="141"/>
      <c r="BC48" s="141"/>
    </row>
    <row r="49" spans="2:55" ht="18">
      <c r="B49" s="98"/>
      <c r="C49" s="77"/>
      <c r="D49" s="77"/>
      <c r="E49" s="77"/>
      <c r="F49" s="77"/>
      <c r="G49" s="77"/>
      <c r="H49" s="323" t="s">
        <v>6</v>
      </c>
      <c r="I49" s="324"/>
      <c r="J49" s="325"/>
      <c r="K49" s="326"/>
      <c r="L49" s="326"/>
      <c r="M49" s="326"/>
      <c r="N49" s="326"/>
      <c r="O49" s="326"/>
      <c r="P49" s="327"/>
      <c r="Q49" s="77"/>
      <c r="R49" s="77"/>
      <c r="S49" s="77"/>
      <c r="T49" s="77"/>
      <c r="U49" s="77"/>
      <c r="V49" s="96"/>
      <c r="X49" s="13"/>
      <c r="AK49" s="70"/>
      <c r="AL49" s="70"/>
      <c r="AM49" s="70"/>
      <c r="AN49" s="70"/>
      <c r="AO49" s="70"/>
      <c r="BB49" s="141"/>
      <c r="BC49" s="141"/>
    </row>
    <row r="50" spans="2:55" ht="11.1" customHeight="1">
      <c r="B50" s="98"/>
      <c r="C50" s="77"/>
      <c r="D50" s="77"/>
      <c r="E50" s="77"/>
      <c r="F50" s="77"/>
      <c r="G50" s="77"/>
      <c r="H50" s="324"/>
      <c r="I50" s="324"/>
      <c r="J50" s="328"/>
      <c r="K50" s="329"/>
      <c r="L50" s="329"/>
      <c r="M50" s="329"/>
      <c r="N50" s="329"/>
      <c r="O50" s="329"/>
      <c r="P50" s="330"/>
      <c r="Q50" s="77"/>
      <c r="R50" s="77"/>
      <c r="S50" s="77"/>
      <c r="T50" s="77"/>
      <c r="U50" s="77"/>
      <c r="V50" s="96"/>
      <c r="X50" s="13"/>
      <c r="AK50" s="70"/>
      <c r="AL50" s="70"/>
      <c r="AM50" s="70"/>
      <c r="AN50" s="70"/>
      <c r="AO50" s="70"/>
      <c r="BB50" s="141"/>
      <c r="BC50" s="141"/>
    </row>
    <row r="51" spans="2:55" ht="18">
      <c r="B51" s="98"/>
      <c r="C51" s="77"/>
      <c r="D51" s="77"/>
      <c r="E51" s="77"/>
      <c r="F51" s="77"/>
      <c r="G51" s="77"/>
      <c r="H51" s="323" t="s">
        <v>7</v>
      </c>
      <c r="I51" s="324"/>
      <c r="J51" s="325"/>
      <c r="K51" s="326"/>
      <c r="L51" s="326"/>
      <c r="M51" s="326"/>
      <c r="N51" s="326"/>
      <c r="O51" s="326"/>
      <c r="P51" s="327"/>
      <c r="Q51" s="77"/>
      <c r="R51" s="77"/>
      <c r="S51" s="77"/>
      <c r="T51" s="77"/>
      <c r="U51" s="77"/>
      <c r="V51" s="96"/>
      <c r="X51" s="13"/>
      <c r="AK51" s="70"/>
      <c r="AL51" s="70"/>
      <c r="AM51" s="70"/>
      <c r="AN51" s="70"/>
      <c r="AO51" s="70"/>
      <c r="BB51" s="141"/>
      <c r="BC51" s="141"/>
    </row>
    <row r="52" spans="2:55" ht="11.1" customHeight="1">
      <c r="B52" s="98"/>
      <c r="C52" s="77"/>
      <c r="D52" s="77"/>
      <c r="E52" s="77"/>
      <c r="F52" s="77"/>
      <c r="G52" s="77"/>
      <c r="H52" s="324"/>
      <c r="I52" s="324"/>
      <c r="J52" s="328"/>
      <c r="K52" s="329"/>
      <c r="L52" s="329"/>
      <c r="M52" s="329"/>
      <c r="N52" s="329"/>
      <c r="O52" s="329"/>
      <c r="P52" s="330"/>
      <c r="Q52" s="77"/>
      <c r="R52" s="77"/>
      <c r="S52" s="77"/>
      <c r="T52" s="77"/>
      <c r="U52" s="77"/>
      <c r="V52" s="96"/>
      <c r="X52" s="13"/>
      <c r="AK52" s="70"/>
      <c r="AL52" s="70"/>
      <c r="AM52" s="70"/>
      <c r="AN52" s="70"/>
      <c r="AO52" s="70"/>
      <c r="BB52" s="141"/>
      <c r="BC52" s="141"/>
    </row>
    <row r="53" spans="2:55" ht="18">
      <c r="B53" s="98"/>
      <c r="C53" s="77"/>
      <c r="D53" s="77"/>
      <c r="E53" s="77"/>
      <c r="F53" s="77"/>
      <c r="G53" s="77"/>
      <c r="H53" s="323" t="s">
        <v>8</v>
      </c>
      <c r="I53" s="324"/>
      <c r="J53" s="325"/>
      <c r="K53" s="345"/>
      <c r="L53" s="345"/>
      <c r="M53" s="345"/>
      <c r="N53" s="345"/>
      <c r="O53" s="345"/>
      <c r="P53" s="346"/>
      <c r="Q53" s="77"/>
      <c r="R53" s="77"/>
      <c r="S53" s="77"/>
      <c r="T53" s="77"/>
      <c r="U53" s="77"/>
      <c r="V53" s="96"/>
      <c r="X53" s="13"/>
      <c r="AK53" s="70"/>
      <c r="AL53" s="70"/>
      <c r="AM53" s="70"/>
      <c r="AN53" s="70"/>
      <c r="AO53" s="70"/>
      <c r="BB53" s="141"/>
      <c r="BC53" s="141"/>
    </row>
    <row r="54" spans="2:55" ht="18">
      <c r="B54" s="98"/>
      <c r="C54" s="77"/>
      <c r="D54" s="77"/>
      <c r="E54" s="77"/>
      <c r="F54" s="77"/>
      <c r="G54" s="77"/>
      <c r="H54" s="324"/>
      <c r="I54" s="324"/>
      <c r="J54" s="347"/>
      <c r="K54" s="348"/>
      <c r="L54" s="348"/>
      <c r="M54" s="348"/>
      <c r="N54" s="348"/>
      <c r="O54" s="348"/>
      <c r="P54" s="349"/>
      <c r="Q54" s="77"/>
      <c r="R54" s="77"/>
      <c r="S54" s="77"/>
      <c r="T54" s="77"/>
      <c r="U54" s="77"/>
      <c r="V54" s="96"/>
      <c r="X54" s="317" t="s">
        <v>54</v>
      </c>
      <c r="Y54" s="318"/>
      <c r="Z54" s="318"/>
      <c r="AA54" s="318"/>
      <c r="AB54" s="318"/>
      <c r="AC54" s="318"/>
      <c r="AD54" s="318"/>
      <c r="AE54" s="318"/>
      <c r="AF54" s="318"/>
      <c r="AG54" s="318"/>
      <c r="AH54" s="318"/>
      <c r="AI54" s="318"/>
      <c r="AJ54" s="318"/>
      <c r="AK54" s="318"/>
      <c r="AL54" s="318"/>
      <c r="AM54" s="318"/>
      <c r="AN54" s="319"/>
      <c r="AO54" s="70"/>
      <c r="BB54" s="141"/>
      <c r="BC54" s="141"/>
    </row>
    <row r="55" spans="2:55" ht="11.1" customHeight="1">
      <c r="B55" s="98"/>
      <c r="C55" s="77"/>
      <c r="D55" s="77"/>
      <c r="E55" s="77"/>
      <c r="F55" s="77"/>
      <c r="G55" s="77"/>
      <c r="H55" s="323" t="s">
        <v>9</v>
      </c>
      <c r="I55" s="324"/>
      <c r="J55" s="325"/>
      <c r="K55" s="345"/>
      <c r="L55" s="345"/>
      <c r="M55" s="345"/>
      <c r="N55" s="345"/>
      <c r="O55" s="345"/>
      <c r="P55" s="346"/>
      <c r="Q55" s="77"/>
      <c r="R55" s="77"/>
      <c r="S55" s="77"/>
      <c r="T55" s="77"/>
      <c r="U55" s="77"/>
      <c r="V55" s="96"/>
      <c r="X55" s="317" t="s">
        <v>2</v>
      </c>
      <c r="Y55" s="318"/>
      <c r="Z55" s="318"/>
      <c r="AA55" s="318"/>
      <c r="AB55" s="318"/>
      <c r="AC55" s="318"/>
      <c r="AD55" s="318"/>
      <c r="AE55" s="318"/>
      <c r="AF55" s="318"/>
      <c r="AG55" s="318"/>
      <c r="AH55" s="318"/>
      <c r="AI55" s="318"/>
      <c r="AJ55" s="318"/>
      <c r="AK55" s="319"/>
      <c r="AL55" s="321" t="s">
        <v>0</v>
      </c>
      <c r="AM55" s="321"/>
      <c r="AN55" s="322"/>
      <c r="AO55" s="70"/>
      <c r="BB55" s="141"/>
      <c r="BC55" s="141"/>
    </row>
    <row r="56" spans="2:55" ht="18">
      <c r="B56" s="98"/>
      <c r="C56" s="77"/>
      <c r="D56" s="77"/>
      <c r="E56" s="77"/>
      <c r="F56" s="77"/>
      <c r="G56" s="77"/>
      <c r="H56" s="324"/>
      <c r="I56" s="324"/>
      <c r="J56" s="347"/>
      <c r="K56" s="348"/>
      <c r="L56" s="348"/>
      <c r="M56" s="348"/>
      <c r="N56" s="348"/>
      <c r="O56" s="348"/>
      <c r="P56" s="349"/>
      <c r="Q56" s="77"/>
      <c r="R56" s="77"/>
      <c r="S56" s="77"/>
      <c r="T56" s="77"/>
      <c r="U56" s="77"/>
      <c r="V56" s="96"/>
      <c r="X56" s="36" t="s">
        <v>1</v>
      </c>
      <c r="Y56" s="17" t="s">
        <v>3</v>
      </c>
      <c r="Z56" s="17" t="s">
        <v>4</v>
      </c>
      <c r="AA56" s="17" t="s">
        <v>5</v>
      </c>
      <c r="AB56" s="17" t="s">
        <v>6</v>
      </c>
      <c r="AC56" s="17" t="s">
        <v>7</v>
      </c>
      <c r="AD56" s="17" t="s">
        <v>137</v>
      </c>
      <c r="AE56" s="17" t="s">
        <v>138</v>
      </c>
      <c r="AF56" s="17" t="s">
        <v>139</v>
      </c>
      <c r="AG56" s="17" t="s">
        <v>140</v>
      </c>
      <c r="AH56" s="17" t="s">
        <v>141</v>
      </c>
      <c r="AI56" s="17" t="s">
        <v>142</v>
      </c>
      <c r="AJ56" s="17" t="s">
        <v>143</v>
      </c>
      <c r="AK56" s="17" t="s">
        <v>144</v>
      </c>
      <c r="AL56" s="17" t="s">
        <v>8</v>
      </c>
      <c r="AM56" s="17" t="s">
        <v>9</v>
      </c>
      <c r="AN56" s="17" t="s">
        <v>10</v>
      </c>
      <c r="AO56" s="70"/>
      <c r="BB56" s="141"/>
      <c r="BC56" s="141"/>
    </row>
    <row r="57" spans="2:55" ht="18">
      <c r="B57" s="98"/>
      <c r="C57" s="77"/>
      <c r="D57" s="77"/>
      <c r="E57" s="77"/>
      <c r="F57" s="77"/>
      <c r="G57" s="77"/>
      <c r="H57" s="323" t="s">
        <v>10</v>
      </c>
      <c r="I57" s="324"/>
      <c r="J57" s="325"/>
      <c r="K57" s="345"/>
      <c r="L57" s="345"/>
      <c r="M57" s="345"/>
      <c r="N57" s="345"/>
      <c r="O57" s="345"/>
      <c r="P57" s="346"/>
      <c r="Q57" s="77"/>
      <c r="R57" s="77"/>
      <c r="S57" s="77"/>
      <c r="T57" s="77"/>
      <c r="U57" s="77"/>
      <c r="V57" s="96"/>
      <c r="X57" s="16" t="s">
        <v>12</v>
      </c>
      <c r="Y57" s="372">
        <f>(MEDIAN(E88:E100)-E88)-(MEDIAN($R$88:$T$100)-MEDIAN($R$88:$T$88))</f>
        <v>0</v>
      </c>
      <c r="Z57" s="372">
        <f>(MEDIAN(F88:F100)-F88)-(MEDIAN($R$88:$T$100)-MEDIAN($R$88:$T$88))</f>
        <v>0</v>
      </c>
      <c r="AA57" s="372">
        <f>(MEDIAN(G88:G100)-G88)-(MEDIAN($R$88:$T$100)-MEDIAN($R$88:$T$88))</f>
        <v>0</v>
      </c>
      <c r="AB57" s="372">
        <f>(MEDIAN(H88:H100)-H88)-(MEDIAN($R$88:$T$100)-MEDIAN($R$88:$T$88))</f>
        <v>0</v>
      </c>
      <c r="AC57" s="372">
        <f>(MEDIAN(I88:I100)-I88)-(MEDIAN($R$88:$T$100)-MEDIAN($R$88:$T$88))</f>
        <v>0</v>
      </c>
      <c r="AD57" s="372">
        <f>(MEDIAN(J88:J100)-J88)-(MEDIAN($R$88:$T$100)-MEDIAN($R$88:$T$88))</f>
        <v>0</v>
      </c>
      <c r="AE57" s="372">
        <f>(MEDIAN(K88:K100)-K88)-(MEDIAN($R$88:$T$100)-MEDIAN($R$88:$T$88))</f>
        <v>0</v>
      </c>
      <c r="AF57" s="372">
        <f>(MEDIAN(L88:L100)-L88)-(MEDIAN($R$88:$T$100)-MEDIAN($R$88:$T$88))</f>
        <v>0</v>
      </c>
      <c r="AG57" s="372">
        <f>(MEDIAN(M88:M100)-M88)-(MEDIAN($R$88:$T$100)-MEDIAN($R$88:$T$88))</f>
        <v>0</v>
      </c>
      <c r="AH57" s="372">
        <f>(MEDIAN(N88:N100)-N88)-(MEDIAN($R$88:$T$100)-MEDIAN($R$88:$T$88))</f>
        <v>0</v>
      </c>
      <c r="AI57" s="372">
        <f>(MEDIAN(O88:O100)-O88)-(MEDIAN($R$88:$T$100)-MEDIAN($R$88:$T$88))</f>
        <v>0</v>
      </c>
      <c r="AJ57" s="372">
        <f>(MEDIAN(P88:P100)-P88)-(MEDIAN($R$88:$T$100)-MEDIAN($R$88:$T$88))</f>
        <v>0</v>
      </c>
      <c r="AK57" s="372">
        <f>(MEDIAN(Q88:Q100)-Q88)-(MEDIAN($R$88:$T$100)-MEDIAN($R$88:$T$88))</f>
        <v>0</v>
      </c>
      <c r="AL57" s="372">
        <f>MEDIAN(R88:R100)-R88</f>
        <v>6</v>
      </c>
      <c r="AM57" s="372">
        <f>MEDIAN(S88:S100)-S88</f>
        <v>6</v>
      </c>
      <c r="AN57" s="372">
        <f>MEDIAN(T88:T100)-T88</f>
        <v>6</v>
      </c>
      <c r="AO57" s="70"/>
      <c r="BB57" s="141"/>
      <c r="BC57" s="141"/>
    </row>
    <row r="58" spans="2:55" ht="11.1" customHeight="1">
      <c r="B58" s="98"/>
      <c r="C58" s="77"/>
      <c r="D58" s="77"/>
      <c r="E58" s="77"/>
      <c r="F58" s="77"/>
      <c r="G58" s="77"/>
      <c r="H58" s="324"/>
      <c r="I58" s="324"/>
      <c r="J58" s="347"/>
      <c r="K58" s="348"/>
      <c r="L58" s="348"/>
      <c r="M58" s="348"/>
      <c r="N58" s="348"/>
      <c r="O58" s="348"/>
      <c r="P58" s="349"/>
      <c r="Q58" s="77"/>
      <c r="R58" s="77"/>
      <c r="S58" s="77"/>
      <c r="T58" s="77"/>
      <c r="U58" s="77"/>
      <c r="V58" s="96"/>
      <c r="X58" s="16" t="s">
        <v>13</v>
      </c>
      <c r="Y58" s="372">
        <f>MEDIAN(E100:E112)-E100-(MEDIAN($R$100:$T$112)-MEDIAN($R$100:$T$100))</f>
        <v>0</v>
      </c>
      <c r="Z58" s="372">
        <f>MEDIAN(F100:F112)-F100-(MEDIAN($R$100:$T$112)-MEDIAN($R$100:$T$100))</f>
        <v>0</v>
      </c>
      <c r="AA58" s="372">
        <f>MEDIAN(G100:G112)-G100-(MEDIAN($R$100:$T$112)-MEDIAN($R$100:$T$100))</f>
        <v>0</v>
      </c>
      <c r="AB58" s="372">
        <f>MEDIAN(H100:H112)-H100-(MEDIAN($R$100:$T$112)-MEDIAN($R$100:$T$100))</f>
        <v>0</v>
      </c>
      <c r="AC58" s="372">
        <f>MEDIAN(I100:I112)-I100-(MEDIAN($R$100:$T$112)-MEDIAN($R$100:$T$100))</f>
        <v>0</v>
      </c>
      <c r="AD58" s="372">
        <f>MEDIAN(J100:J112)-J100-(MEDIAN($R$100:$T$112)-MEDIAN($R$100:$T$100))</f>
        <v>0</v>
      </c>
      <c r="AE58" s="372">
        <f>MEDIAN(K100:K112)-K100-(MEDIAN($R$100:$T$112)-MEDIAN($R$100:$T$100))</f>
        <v>0</v>
      </c>
      <c r="AF58" s="372">
        <f>MEDIAN(L100:L112)-L100-(MEDIAN($R$100:$T$112)-MEDIAN($R$100:$T$100))</f>
        <v>0</v>
      </c>
      <c r="AG58" s="372">
        <f>MEDIAN(M100:M112)-M100-(MEDIAN($R$100:$T$112)-MEDIAN($R$100:$T$100))</f>
        <v>0</v>
      </c>
      <c r="AH58" s="372">
        <f>MEDIAN(N100:N112)-N100-(MEDIAN($R$100:$T$112)-MEDIAN($R$100:$T$100))</f>
        <v>0</v>
      </c>
      <c r="AI58" s="372">
        <f>MEDIAN(O100:O112)-O100-(MEDIAN($R$100:$T$112)-MEDIAN($R$100:$T$100))</f>
        <v>0</v>
      </c>
      <c r="AJ58" s="372">
        <f>MEDIAN(P100:P112)-P100-(MEDIAN($R$100:$T$112)-MEDIAN($R$100:$T$100))</f>
        <v>0</v>
      </c>
      <c r="AK58" s="372">
        <f>MEDIAN(Q100:Q112)-Q100-(MEDIAN($R$100:$T$112)-MEDIAN($R$100:$T$100))</f>
        <v>0</v>
      </c>
      <c r="AL58" s="372">
        <f>MEDIAN(R100:R112)-R100</f>
        <v>6</v>
      </c>
      <c r="AM58" s="372">
        <f>MEDIAN(S100:S112)-S100</f>
        <v>6</v>
      </c>
      <c r="AN58" s="372">
        <f>MEDIAN(T100:T112)-T100</f>
        <v>6</v>
      </c>
      <c r="AO58" s="70"/>
      <c r="BB58" s="141"/>
      <c r="BC58" s="141"/>
    </row>
    <row r="59" spans="2:55" ht="14.1" customHeight="1">
      <c r="B59" s="98"/>
      <c r="C59" s="77"/>
      <c r="D59" s="77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96"/>
      <c r="X59" s="16" t="s">
        <v>14</v>
      </c>
      <c r="Y59" s="373">
        <f>MEDIAN(E112:E124)-E112-(MEDIAN($R$112:$T$124)-MEDIAN($R$112:$T$112))</f>
        <v>0</v>
      </c>
      <c r="Z59" s="373">
        <f>MEDIAN(F112:F124)-F112-(MEDIAN($R$112:$T$124)-MEDIAN($R$112:$T$112))</f>
        <v>0</v>
      </c>
      <c r="AA59" s="373">
        <f>MEDIAN(G112:G124)-G112-(MEDIAN($R$112:$T$124)-MEDIAN($R$112:$T$112))</f>
        <v>0</v>
      </c>
      <c r="AB59" s="373">
        <f>MEDIAN(H112:H124)-H112-(MEDIAN($R$112:$T$124)-MEDIAN($R$112:$T$112))</f>
        <v>0</v>
      </c>
      <c r="AC59" s="373">
        <f>MEDIAN(I112:I124)-I112-(MEDIAN($R$112:$T$124)-MEDIAN($R$112:$T$112))</f>
        <v>0</v>
      </c>
      <c r="AD59" s="373">
        <f>MEDIAN(J112:J124)-J112-(MEDIAN($R$112:$T$124)-MEDIAN($R$112:$T$112))</f>
        <v>0</v>
      </c>
      <c r="AE59" s="373">
        <f>MEDIAN(K112:K124)-K112-(MEDIAN($R$112:$T$124)-MEDIAN($R$112:$T$112))</f>
        <v>0</v>
      </c>
      <c r="AF59" s="373">
        <f>MEDIAN(L112:L124)-L112-(MEDIAN($R$112:$T$124)-MEDIAN($R$112:$T$112))</f>
        <v>0</v>
      </c>
      <c r="AG59" s="373">
        <f>MEDIAN(M112:M124)-M112-(MEDIAN($R$112:$T$124)-MEDIAN($R$112:$T$112))</f>
        <v>0</v>
      </c>
      <c r="AH59" s="373">
        <f>MEDIAN(N112:N124)-N112-(MEDIAN($R$112:$T$124)-MEDIAN($R$112:$T$112))</f>
        <v>0</v>
      </c>
      <c r="AI59" s="373">
        <f>MEDIAN(O112:O124)-O112-(MEDIAN($R$112:$T$124)-MEDIAN($R$112:$T$112))</f>
        <v>0</v>
      </c>
      <c r="AJ59" s="373">
        <f>MEDIAN(P112:P124)-P112-(MEDIAN($R$112:$T$124)-MEDIAN($R$112:$T$112))</f>
        <v>0</v>
      </c>
      <c r="AK59" s="373">
        <f>MEDIAN(Q112:Q124)-Q112-(MEDIAN($R$112:$T$124)-MEDIAN($R$112:$T$112))</f>
        <v>0</v>
      </c>
      <c r="AL59" s="373">
        <f>MEDIAN(R112:R124)-R112</f>
        <v>6</v>
      </c>
      <c r="AM59" s="373">
        <f>MEDIAN(S112:S124)-S112</f>
        <v>6</v>
      </c>
      <c r="AN59" s="373">
        <f>MEDIAN(T112:T124)-T112</f>
        <v>6</v>
      </c>
      <c r="AO59" s="70"/>
      <c r="BB59" s="141"/>
      <c r="BC59" s="141"/>
    </row>
    <row r="60" spans="2:55" ht="14.1" customHeight="1" thickBot="1">
      <c r="B60" s="98"/>
      <c r="C60" s="77"/>
      <c r="D60" s="77"/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7"/>
      <c r="P60" s="77"/>
      <c r="Q60" s="77"/>
      <c r="R60" s="77"/>
      <c r="S60" s="77"/>
      <c r="T60" s="77"/>
      <c r="U60" s="77"/>
      <c r="V60" s="96"/>
      <c r="X60" s="16" t="s">
        <v>128</v>
      </c>
      <c r="Y60" s="373">
        <f>MEDIAN(E124:E136)-E124-(MEDIAN($R$124:$T$136)-MEDIAN($R$124:$T$124))</f>
        <v>0</v>
      </c>
      <c r="Z60" s="373">
        <f>MEDIAN(F124:F136)-F124-(MEDIAN($R$124:$T$136)-MEDIAN($R$124:$T$124))</f>
        <v>0</v>
      </c>
      <c r="AA60" s="373">
        <f>MEDIAN(G124:G136)-G124-(MEDIAN($R$124:$T$136)-MEDIAN($R$124:$T$124))</f>
        <v>0</v>
      </c>
      <c r="AB60" s="373">
        <f>MEDIAN(H124:H136)-H124-(MEDIAN($R$124:$T$136)-MEDIAN($R$124:$T$124))</f>
        <v>0</v>
      </c>
      <c r="AC60" s="373">
        <f>MEDIAN(I124:I136)-I124-(MEDIAN($R$124:$T$136)-MEDIAN($R$124:$T$124))</f>
        <v>0</v>
      </c>
      <c r="AD60" s="373">
        <f>MEDIAN(J124:J136)-J124-(MEDIAN($R$124:$T$136)-MEDIAN($R$124:$T$124))</f>
        <v>0</v>
      </c>
      <c r="AE60" s="373">
        <f>MEDIAN(K124:K136)-K124-(MEDIAN($R$124:$T$136)-MEDIAN($R$124:$T$124))</f>
        <v>0</v>
      </c>
      <c r="AF60" s="373">
        <f>MEDIAN(L124:L136)-L124-(MEDIAN($R$124:$T$136)-MEDIAN($R$124:$T$124))</f>
        <v>0</v>
      </c>
      <c r="AG60" s="373">
        <f>MEDIAN(M124:M136)-M124-(MEDIAN($R$124:$T$136)-MEDIAN($R$124:$T$124))</f>
        <v>0</v>
      </c>
      <c r="AH60" s="373">
        <f>MEDIAN(N124:N136)-N124-(MEDIAN($R$124:$T$136)-MEDIAN($R$124:$T$124))</f>
        <v>0</v>
      </c>
      <c r="AI60" s="373">
        <f>MEDIAN(O124:O136)-O124-(MEDIAN($R$124:$T$136)-MEDIAN($R$124:$T$124))</f>
        <v>0</v>
      </c>
      <c r="AJ60" s="373">
        <f>MEDIAN(P124:P136)-P124-(MEDIAN($R$124:$T$136)-MEDIAN($R$124:$T$124))</f>
        <v>0</v>
      </c>
      <c r="AK60" s="373">
        <f>MEDIAN(Q124:Q136)-Q124-(MEDIAN($R$124:$T$136)-MEDIAN($R$124:$T$124))</f>
        <v>0</v>
      </c>
      <c r="AL60" s="373">
        <f>MEDIAN(R124:R136)-R124</f>
        <v>6</v>
      </c>
      <c r="AM60" s="373">
        <f>MEDIAN(S124:S136)-S124</f>
        <v>6</v>
      </c>
      <c r="AN60" s="373">
        <f>MEDIAN(T124:T136)-T124</f>
        <v>6</v>
      </c>
      <c r="AO60" s="70"/>
      <c r="BB60" s="141"/>
      <c r="BC60" s="141"/>
    </row>
    <row r="61" spans="2:55" ht="18.75">
      <c r="B61" s="98"/>
      <c r="C61" s="77"/>
      <c r="D61" s="77"/>
      <c r="E61" s="77"/>
      <c r="F61" s="77"/>
      <c r="G61" s="77"/>
      <c r="H61" s="77"/>
      <c r="I61" s="350" t="s">
        <v>94</v>
      </c>
      <c r="J61" s="280"/>
      <c r="K61" s="280"/>
      <c r="L61" s="280"/>
      <c r="M61" s="280"/>
      <c r="N61" s="280"/>
      <c r="O61" s="281"/>
      <c r="P61" s="77"/>
      <c r="Q61" s="77"/>
      <c r="R61" s="77"/>
      <c r="S61" s="77"/>
      <c r="T61" s="77"/>
      <c r="U61" s="77"/>
      <c r="V61" s="96"/>
      <c r="X61" s="16" t="s">
        <v>129</v>
      </c>
      <c r="Y61" s="373">
        <f>MEDIAN(E136:E148)-E136-(MEDIAN($R$136:$T$148)-MEDIAN($R$136:$T$136))</f>
        <v>0</v>
      </c>
      <c r="Z61" s="373">
        <f>MEDIAN(F136:F148)-F136-(MEDIAN($R$136:$T$148)-MEDIAN($R$136:$T$136))</f>
        <v>0</v>
      </c>
      <c r="AA61" s="373">
        <f>MEDIAN(G136:G148)-G136-(MEDIAN($R$136:$T$148)-MEDIAN($R$136:$T$136))</f>
        <v>0</v>
      </c>
      <c r="AB61" s="373">
        <f>MEDIAN(H136:H148)-H136-(MEDIAN($R$136:$T$148)-MEDIAN($R$136:$T$136))</f>
        <v>0</v>
      </c>
      <c r="AC61" s="373">
        <f>MEDIAN(I136:I148)-I136-(MEDIAN($R$136:$T$148)-MEDIAN($R$136:$T$136))</f>
        <v>0</v>
      </c>
      <c r="AD61" s="373">
        <f>MEDIAN(J136:J148)-J136-(MEDIAN($R$136:$T$148)-MEDIAN($R$136:$T$136))</f>
        <v>0</v>
      </c>
      <c r="AE61" s="373">
        <f>MEDIAN(K136:K148)-K136-(MEDIAN($R$136:$T$148)-MEDIAN($R$136:$T$136))</f>
        <v>0</v>
      </c>
      <c r="AF61" s="373">
        <f>MEDIAN(L136:L148)-L136-(MEDIAN($R$136:$T$148)-MEDIAN($R$136:$T$136))</f>
        <v>0</v>
      </c>
      <c r="AG61" s="373">
        <f>MEDIAN(M136:M148)-M136-(MEDIAN($R$136:$T$148)-MEDIAN($R$136:$T$136))</f>
        <v>0</v>
      </c>
      <c r="AH61" s="373">
        <f>MEDIAN(N136:N148)-N136-(MEDIAN($R$136:$T$148)-MEDIAN($R$136:$T$136))</f>
        <v>0</v>
      </c>
      <c r="AI61" s="373">
        <f>MEDIAN(O136:O148)-O136-(MEDIAN($R$136:$T$148)-MEDIAN($R$136:$T$136))</f>
        <v>0</v>
      </c>
      <c r="AJ61" s="373">
        <f>MEDIAN(P136:P148)-P136-(MEDIAN($R$136:$T$148)-MEDIAN($R$136:$T$136))</f>
        <v>0</v>
      </c>
      <c r="AK61" s="373">
        <f>MEDIAN(Q136:Q148)-Q136-(MEDIAN($R$136:$T$148)-MEDIAN($R$136:$T$136))</f>
        <v>0</v>
      </c>
      <c r="AL61" s="373">
        <f>MEDIAN(R136:R148)-R136</f>
        <v>6</v>
      </c>
      <c r="AM61" s="373">
        <f>MEDIAN(S136:S148)-S136</f>
        <v>6</v>
      </c>
      <c r="AN61" s="373">
        <f>MEDIAN(T136:T148)-T136</f>
        <v>6</v>
      </c>
      <c r="AO61" s="70"/>
      <c r="BB61" s="141"/>
      <c r="BC61" s="141"/>
    </row>
    <row r="62" spans="2:55" ht="14.1" customHeight="1">
      <c r="B62" s="98"/>
      <c r="C62" s="77"/>
      <c r="D62" s="77"/>
      <c r="E62" s="77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7"/>
      <c r="Q62" s="77"/>
      <c r="R62" s="77"/>
      <c r="S62" s="77"/>
      <c r="T62" s="77"/>
      <c r="U62" s="77"/>
      <c r="V62" s="96"/>
      <c r="X62" s="16" t="s">
        <v>130</v>
      </c>
      <c r="Y62" s="373">
        <f>MEDIAN(E148:E160)-E148-(MEDIAN($R$148:$T$160)-MEDIAN($R$148:$T$148))</f>
        <v>0</v>
      </c>
      <c r="Z62" s="373">
        <f>MEDIAN(F148:F160)-F148-(MEDIAN($R$148:$T$160)-MEDIAN($R$148:$T$148))</f>
        <v>0</v>
      </c>
      <c r="AA62" s="373">
        <f>MEDIAN(G148:G160)-G148-(MEDIAN($R$148:$T$160)-MEDIAN($R$148:$T$148))</f>
        <v>0</v>
      </c>
      <c r="AB62" s="373">
        <f>MEDIAN(H148:H160)-H148-(MEDIAN($R$148:$T$160)-MEDIAN($R$148:$T$148))</f>
        <v>0</v>
      </c>
      <c r="AC62" s="373">
        <f>MEDIAN(I148:I160)-I148-(MEDIAN($R$148:$T$160)-MEDIAN($R$148:$T$148))</f>
        <v>0</v>
      </c>
      <c r="AD62" s="373">
        <f>MEDIAN(J148:J160)-J148-(MEDIAN($R$148:$T$160)-MEDIAN($R$148:$T$148))</f>
        <v>0</v>
      </c>
      <c r="AE62" s="373">
        <f>MEDIAN(K148:K160)-K148-(MEDIAN($R$148:$T$160)-MEDIAN($R$148:$T$148))</f>
        <v>0</v>
      </c>
      <c r="AF62" s="373">
        <f>MEDIAN(L148:L160)-L148-(MEDIAN($R$148:$T$160)-MEDIAN($R$148:$T$148))</f>
        <v>0</v>
      </c>
      <c r="AG62" s="373">
        <f>MEDIAN(M148:M160)-M148-(MEDIAN($R$148:$T$160)-MEDIAN($R$148:$T$148))</f>
        <v>0</v>
      </c>
      <c r="AH62" s="373">
        <f>MEDIAN(N148:N160)-N148-(MEDIAN($R$148:$T$160)-MEDIAN($R$148:$T$148))</f>
        <v>0</v>
      </c>
      <c r="AI62" s="373">
        <f>MEDIAN(O148:O160)-O148-(MEDIAN($R$148:$T$160)-MEDIAN($R$148:$T$148))</f>
        <v>0</v>
      </c>
      <c r="AJ62" s="373">
        <f>MEDIAN(P148:P160)-P148-(MEDIAN($R$148:$T$160)-MEDIAN($R$148:$T$148))</f>
        <v>0</v>
      </c>
      <c r="AK62" s="373">
        <f>MEDIAN(Q148:Q160)-Q148-(MEDIAN($R$148:$T$160)-MEDIAN($R$148:$T$148))</f>
        <v>0</v>
      </c>
      <c r="AL62" s="373">
        <f>MEDIAN(R148:R160)-R148</f>
        <v>6</v>
      </c>
      <c r="AM62" s="373">
        <f>MEDIAN(S148:S160)-S148</f>
        <v>6</v>
      </c>
      <c r="AN62" s="373">
        <f>MEDIAN(T148:T160)-T148</f>
        <v>6</v>
      </c>
      <c r="AO62" s="70"/>
      <c r="BB62" s="141"/>
      <c r="BC62" s="141"/>
    </row>
    <row r="63" spans="2:55" ht="14.1" customHeight="1">
      <c r="B63" s="98"/>
      <c r="C63" s="77"/>
      <c r="D63" s="77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96"/>
      <c r="X63" s="16" t="s">
        <v>131</v>
      </c>
      <c r="Y63" s="373">
        <f>MEDIAN(E160:E172)-E160-(MEDIAN($R$160:$T$172)-MEDIAN($R$160:$T$160))</f>
        <v>0</v>
      </c>
      <c r="Z63" s="373">
        <f>MEDIAN(F160:F172)-F160-(MEDIAN($R$160:$T$172)-MEDIAN($R$160:$T$160))</f>
        <v>0</v>
      </c>
      <c r="AA63" s="373">
        <f>MEDIAN(G160:G172)-G160-(MEDIAN($R$160:$T$172)-MEDIAN($R$160:$T$160))</f>
        <v>0</v>
      </c>
      <c r="AB63" s="373">
        <f>MEDIAN(H160:H172)-H160-(MEDIAN($R$160:$T$172)-MEDIAN($R$160:$T$160))</f>
        <v>0</v>
      </c>
      <c r="AC63" s="373">
        <f>MEDIAN(I160:I172)-I160-(MEDIAN($R$160:$T$172)-MEDIAN($R$160:$T$160))</f>
        <v>0</v>
      </c>
      <c r="AD63" s="373">
        <f>MEDIAN(J160:J172)-J160-(MEDIAN($R$160:$T$172)-MEDIAN($R$160:$T$160))</f>
        <v>0</v>
      </c>
      <c r="AE63" s="373">
        <f>MEDIAN(K160:K172)-K160-(MEDIAN($R$160:$T$172)-MEDIAN($R$160:$T$160))</f>
        <v>0</v>
      </c>
      <c r="AF63" s="373">
        <f>MEDIAN(L160:L172)-L160-(MEDIAN($R$160:$T$172)-MEDIAN($R$160:$T$160))</f>
        <v>0</v>
      </c>
      <c r="AG63" s="373">
        <f>MEDIAN(M160:M172)-M160-(MEDIAN($R$160:$T$172)-MEDIAN($R$160:$T$160))</f>
        <v>0</v>
      </c>
      <c r="AH63" s="373">
        <f>MEDIAN(N160:N172)-N160-(MEDIAN($R$160:$T$172)-MEDIAN($R$160:$T$160))</f>
        <v>0</v>
      </c>
      <c r="AI63" s="373">
        <f>MEDIAN(O160:O172)-O160-(MEDIAN($R$160:$T$172)-MEDIAN($R$160:$T$160))</f>
        <v>0</v>
      </c>
      <c r="AJ63" s="373">
        <f>MEDIAN(P160:P172)-P160-(MEDIAN($R$160:$T$172)-MEDIAN($R$160:$T$160))</f>
        <v>0</v>
      </c>
      <c r="AK63" s="373">
        <f>MEDIAN(Q160:Q172)-Q160-(MEDIAN($R$160:$T$172)-MEDIAN($R$160:$T$160))</f>
        <v>0</v>
      </c>
      <c r="AL63" s="373">
        <f>MEDIAN(R160:R172)-R160</f>
        <v>6</v>
      </c>
      <c r="AM63" s="373">
        <f>MEDIAN(S160:S172)-S160</f>
        <v>6</v>
      </c>
      <c r="AN63" s="373">
        <f>MEDIAN(T160:T172)-T160</f>
        <v>6</v>
      </c>
      <c r="AO63" s="70"/>
      <c r="BB63" s="141"/>
      <c r="BC63" s="141"/>
    </row>
    <row r="64" spans="2:55" ht="14.1" customHeight="1">
      <c r="B64" s="98"/>
      <c r="C64" s="77"/>
      <c r="D64" s="77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96"/>
      <c r="X64" s="16" t="s">
        <v>132</v>
      </c>
      <c r="Y64" s="373">
        <f>MEDIAN(E172:E184)-E172-(MEDIAN($R$172:$T$184)-MEDIAN($R$172:$T$172))</f>
        <v>0</v>
      </c>
      <c r="Z64" s="373">
        <f>MEDIAN(F172:F184)-F172-(MEDIAN($R$172:$T$184)-MEDIAN($R$172:$T$172))</f>
        <v>0</v>
      </c>
      <c r="AA64" s="373">
        <f>MEDIAN(G172:G184)-G172-(MEDIAN($R$172:$T$184)-MEDIAN($R$172:$T$172))</f>
        <v>0</v>
      </c>
      <c r="AB64" s="373">
        <f>MEDIAN(H172:H184)-H172-(MEDIAN($R$172:$T$184)-MEDIAN($R$172:$T$172))</f>
        <v>0</v>
      </c>
      <c r="AC64" s="373">
        <f>MEDIAN(I172:I184)-I172-(MEDIAN($R$172:$T$184)-MEDIAN($R$172:$T$172))</f>
        <v>0</v>
      </c>
      <c r="AD64" s="373">
        <f>MEDIAN(J172:J184)-J172-(MEDIAN($R$172:$T$184)-MEDIAN($R$172:$T$172))</f>
        <v>0</v>
      </c>
      <c r="AE64" s="373">
        <f>MEDIAN(K172:K184)-K172-(MEDIAN($R$172:$T$184)-MEDIAN($R$172:$T$172))</f>
        <v>0</v>
      </c>
      <c r="AF64" s="373">
        <f>MEDIAN(L172:L184)-L172-(MEDIAN($R$172:$T$184)-MEDIAN($R$172:$T$172))</f>
        <v>0</v>
      </c>
      <c r="AG64" s="373">
        <f>MEDIAN(M172:M184)-M172-(MEDIAN($R$172:$T$184)-MEDIAN($R$172:$T$172))</f>
        <v>0</v>
      </c>
      <c r="AH64" s="373">
        <f>MEDIAN(N172:N184)-N172-(MEDIAN($R$172:$T$184)-MEDIAN($R$172:$T$172))</f>
        <v>0</v>
      </c>
      <c r="AI64" s="373">
        <f>MEDIAN(O172:O184)-O172-(MEDIAN($R$172:$T$184)-MEDIAN($R$172:$T$172))</f>
        <v>0</v>
      </c>
      <c r="AJ64" s="373">
        <f>MEDIAN(P172:P184)-P172-(MEDIAN($R$172:$T$184)-MEDIAN($R$172:$T$172))</f>
        <v>0</v>
      </c>
      <c r="AK64" s="373">
        <f>MEDIAN(Q172:Q184)-Q172-(MEDIAN($R$172:$T$184)-MEDIAN($R$172:$T$172))</f>
        <v>0</v>
      </c>
      <c r="AL64" s="373">
        <f>MEDIAN(R172:R184)-R172</f>
        <v>6</v>
      </c>
      <c r="AM64" s="373">
        <f>MEDIAN(S172:S184)-S172</f>
        <v>6</v>
      </c>
      <c r="AN64" s="373">
        <f>MEDIAN(T172:T184)-T172</f>
        <v>6</v>
      </c>
      <c r="AO64" s="70"/>
      <c r="BB64" s="141"/>
      <c r="BC64" s="141"/>
    </row>
    <row r="65" spans="2:55" ht="14.1" customHeight="1">
      <c r="B65" s="98"/>
      <c r="C65" s="77"/>
      <c r="D65" s="77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96"/>
      <c r="X65" s="16" t="s">
        <v>133</v>
      </c>
      <c r="Y65" s="373">
        <f>MEDIAN(E184:E196)-E184-(MEDIAN($R$184:$T$196)-MEDIAN($R$184:$T$184))</f>
        <v>0</v>
      </c>
      <c r="Z65" s="373">
        <f>MEDIAN(F184:F196)-F184-(MEDIAN($R$184:$T$196)-MEDIAN($R$184:$T$184))</f>
        <v>0</v>
      </c>
      <c r="AA65" s="373">
        <f>MEDIAN(G184:G196)-G184-(MEDIAN($R$184:$T$196)-MEDIAN($R$184:$T$184))</f>
        <v>0</v>
      </c>
      <c r="AB65" s="373">
        <f>MEDIAN(H184:H196)-H184-(MEDIAN($R$184:$T$196)-MEDIAN($R$184:$T$184))</f>
        <v>0</v>
      </c>
      <c r="AC65" s="373">
        <f>MEDIAN(I184:I196)-I184-(MEDIAN($R$184:$T$196)-MEDIAN($R$184:$T$184))</f>
        <v>0</v>
      </c>
      <c r="AD65" s="373">
        <f>MEDIAN(J184:J196)-J184-(MEDIAN($R$184:$T$196)-MEDIAN($R$184:$T$184))</f>
        <v>0</v>
      </c>
      <c r="AE65" s="373">
        <f>MEDIAN(K184:K196)-K184-(MEDIAN($R$184:$T$196)-MEDIAN($R$184:$T$184))</f>
        <v>0</v>
      </c>
      <c r="AF65" s="373">
        <f>MEDIAN(L184:L196)-L184-(MEDIAN($R$184:$T$196)-MEDIAN($R$184:$T$184))</f>
        <v>0</v>
      </c>
      <c r="AG65" s="373">
        <f>MEDIAN(M184:M196)-M184-(MEDIAN($R$184:$T$196)-MEDIAN($R$184:$T$184))</f>
        <v>0</v>
      </c>
      <c r="AH65" s="373">
        <f>MEDIAN(N184:N196)-N184-(MEDIAN($R$184:$T$196)-MEDIAN($R$184:$T$184))</f>
        <v>0</v>
      </c>
      <c r="AI65" s="373">
        <f>MEDIAN(O184:O196)-O184-(MEDIAN($R$184:$T$196)-MEDIAN($R$184:$T$184))</f>
        <v>0</v>
      </c>
      <c r="AJ65" s="373">
        <f>MEDIAN(P184:P196)-P184-(MEDIAN($R$184:$T$196)-MEDIAN($R$184:$T$184))</f>
        <v>0</v>
      </c>
      <c r="AK65" s="373">
        <f>MEDIAN(Q184:Q196)-Q184-(MEDIAN($R$184:$T$196)-MEDIAN($R$184:$T$184))</f>
        <v>0</v>
      </c>
      <c r="AL65" s="373">
        <f>MEDIAN(R184:R196)-R184</f>
        <v>6</v>
      </c>
      <c r="AM65" s="373">
        <f>MEDIAN(S184:S196)-S184</f>
        <v>6</v>
      </c>
      <c r="AN65" s="373">
        <f>MEDIAN(T184:T196)-T184</f>
        <v>6</v>
      </c>
      <c r="AO65" s="70"/>
      <c r="BB65" s="141"/>
      <c r="BC65" s="141"/>
    </row>
    <row r="66" spans="2:55" ht="14.1" customHeight="1">
      <c r="B66" s="98"/>
      <c r="C66" s="77"/>
      <c r="D66" s="77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96"/>
      <c r="X66" s="16" t="s">
        <v>134</v>
      </c>
      <c r="Y66" s="373">
        <f>MEDIAN(E196:E208)-E196-(MEDIAN($R$196:$T$208)-MEDIAN($R$196:$T$196))</f>
        <v>0</v>
      </c>
      <c r="Z66" s="373">
        <f>MEDIAN(F196:F208)-F196-(MEDIAN($R$196:$T$208)-MEDIAN($R$196:$T$196))</f>
        <v>0</v>
      </c>
      <c r="AA66" s="373">
        <f>MEDIAN(G196:G208)-G196-(MEDIAN($R$196:$T$208)-MEDIAN($R$196:$T$196))</f>
        <v>0</v>
      </c>
      <c r="AB66" s="373">
        <f>MEDIAN(H196:H208)-H196-(MEDIAN($R$196:$T$208)-MEDIAN($R$196:$T$196))</f>
        <v>0</v>
      </c>
      <c r="AC66" s="373">
        <f>MEDIAN(I196:I208)-I196-(MEDIAN($R$196:$T$208)-MEDIAN($R$196:$T$196))</f>
        <v>0</v>
      </c>
      <c r="AD66" s="373">
        <f>MEDIAN(J196:J208)-J196-(MEDIAN($R$196:$T$208)-MEDIAN($R$196:$T$196))</f>
        <v>0</v>
      </c>
      <c r="AE66" s="373">
        <f>MEDIAN(K196:K208)-K196-(MEDIAN($R$196:$T$208)-MEDIAN($R$196:$T$196))</f>
        <v>0</v>
      </c>
      <c r="AF66" s="373">
        <f>MEDIAN(L196:L208)-L196-(MEDIAN($R$196:$T$208)-MEDIAN($R$196:$T$196))</f>
        <v>0</v>
      </c>
      <c r="AG66" s="373">
        <f>MEDIAN(M196:M208)-M196-(MEDIAN($R$196:$T$208)-MEDIAN($R$196:$T$196))</f>
        <v>0</v>
      </c>
      <c r="AH66" s="373">
        <f>MEDIAN(N196:N208)-N196-(MEDIAN($R$196:$T$208)-MEDIAN($R$196:$T$196))</f>
        <v>0</v>
      </c>
      <c r="AI66" s="373">
        <f>MEDIAN(O196:O208)-O196-(MEDIAN($R$196:$T$208)-MEDIAN($R$196:$T$196))</f>
        <v>0</v>
      </c>
      <c r="AJ66" s="373">
        <f>MEDIAN(P196:P208)-P196-(MEDIAN($R$196:$T$208)-MEDIAN($R$196:$T$196))</f>
        <v>0</v>
      </c>
      <c r="AK66" s="373">
        <f>MEDIAN(Q196:Q208)-Q196-(MEDIAN($R$196:$T$208)-MEDIAN($R$196:$T$196))</f>
        <v>0</v>
      </c>
      <c r="AL66" s="373">
        <f>MEDIAN(R196:R208)-R196</f>
        <v>6</v>
      </c>
      <c r="AM66" s="373">
        <f>MEDIAN(S196:S208)-S196</f>
        <v>6</v>
      </c>
      <c r="AN66" s="373">
        <f>MEDIAN(T196:T208)-T196</f>
        <v>6</v>
      </c>
      <c r="AO66" s="70"/>
      <c r="BB66" s="141"/>
      <c r="BC66" s="141"/>
    </row>
    <row r="67" spans="2:55" ht="14.1" customHeight="1">
      <c r="B67" s="98"/>
      <c r="C67" s="77"/>
      <c r="D67" s="77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96"/>
      <c r="X67" s="13"/>
      <c r="AI67" s="70"/>
      <c r="AJ67" s="70"/>
      <c r="AK67" s="70"/>
      <c r="AL67" s="70"/>
      <c r="AM67" s="70"/>
      <c r="AN67" s="70"/>
      <c r="AO67" s="70"/>
      <c r="BB67" s="141"/>
      <c r="BC67" s="141"/>
    </row>
    <row r="68" spans="2:55" ht="14.1" customHeight="1">
      <c r="B68" s="98"/>
      <c r="C68" s="77"/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96"/>
      <c r="X68" s="13"/>
      <c r="AI68" s="70"/>
      <c r="AJ68" s="70"/>
      <c r="AK68" s="70"/>
      <c r="AL68" s="70"/>
      <c r="AM68" s="70"/>
      <c r="AN68" s="70"/>
      <c r="AO68" s="70"/>
      <c r="BB68" s="141"/>
      <c r="BC68" s="141"/>
    </row>
    <row r="69" spans="2:55" ht="14.1" customHeight="1">
      <c r="B69" s="98"/>
      <c r="C69" s="77"/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96"/>
      <c r="X69" s="13"/>
      <c r="AI69" s="70"/>
      <c r="AJ69" s="70"/>
      <c r="AK69" s="70"/>
      <c r="AL69" s="70"/>
      <c r="AM69" s="70"/>
      <c r="AN69" s="70"/>
      <c r="AO69" s="70"/>
      <c r="BB69" s="141"/>
      <c r="BC69" s="141"/>
    </row>
    <row r="70" spans="2:55" ht="14.1" customHeight="1">
      <c r="B70" s="98"/>
      <c r="C70" s="77"/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96"/>
      <c r="X70" s="66"/>
      <c r="AD70" s="67"/>
      <c r="AE70" s="67"/>
      <c r="AF70" s="67"/>
      <c r="AI70" s="70"/>
      <c r="AJ70" s="70"/>
      <c r="AK70" s="70"/>
      <c r="AL70" s="70"/>
      <c r="AM70" s="70"/>
      <c r="AN70" s="70"/>
      <c r="AO70" s="70"/>
      <c r="BB70" s="141"/>
      <c r="BC70" s="141"/>
    </row>
    <row r="71" spans="2:55" ht="14.1" customHeight="1">
      <c r="B71" s="98"/>
      <c r="C71" s="77"/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96"/>
      <c r="X71" s="66"/>
      <c r="AD71" s="67"/>
      <c r="AE71" s="67"/>
      <c r="AF71" s="67"/>
      <c r="AI71" s="70"/>
      <c r="AJ71" s="70"/>
      <c r="AK71" s="70"/>
      <c r="AL71" s="70"/>
      <c r="AM71" s="70"/>
      <c r="AN71" s="70"/>
      <c r="AO71" s="70"/>
      <c r="BB71" s="141"/>
      <c r="BC71" s="141"/>
    </row>
    <row r="72" spans="2:55" ht="14.1" customHeight="1">
      <c r="B72" s="98"/>
      <c r="C72" s="77"/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96"/>
      <c r="X72" s="66"/>
      <c r="AD72" s="67"/>
      <c r="AE72" s="67"/>
      <c r="AF72" s="67"/>
      <c r="AI72" s="70"/>
      <c r="AJ72" s="70"/>
      <c r="AK72" s="70"/>
      <c r="AL72" s="70"/>
      <c r="AM72" s="70"/>
      <c r="AN72" s="70"/>
      <c r="AO72" s="70"/>
      <c r="BB72" s="141"/>
      <c r="BC72" s="141"/>
    </row>
    <row r="73" spans="2:55" ht="14.1" customHeight="1">
      <c r="B73" s="98"/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96"/>
      <c r="X73" s="66"/>
      <c r="AD73" s="67"/>
      <c r="AE73" s="67"/>
      <c r="AF73" s="67"/>
      <c r="AI73" s="70"/>
      <c r="AJ73" s="70"/>
      <c r="AK73" s="70"/>
      <c r="AL73" s="70"/>
      <c r="AM73" s="70"/>
      <c r="AN73" s="70"/>
      <c r="AO73" s="70"/>
      <c r="BB73" s="141"/>
      <c r="BC73" s="141"/>
    </row>
    <row r="74" spans="2:55" ht="14.1" customHeight="1">
      <c r="B74" s="98"/>
      <c r="C74" s="77"/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96"/>
      <c r="X74" s="66"/>
      <c r="AD74" s="67"/>
      <c r="AE74" s="67"/>
      <c r="AF74" s="67"/>
      <c r="AI74" s="70"/>
      <c r="AJ74" s="70"/>
      <c r="AK74" s="70"/>
      <c r="AL74" s="70"/>
      <c r="AM74" s="70"/>
      <c r="AN74" s="70"/>
      <c r="AO74" s="70"/>
      <c r="BB74" s="141"/>
      <c r="BC74" s="141"/>
    </row>
    <row r="75" spans="2:55" ht="14.1" customHeight="1">
      <c r="B75" s="98"/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96"/>
      <c r="X75" s="66"/>
      <c r="AD75" s="67"/>
      <c r="AE75" s="67"/>
      <c r="AF75" s="67"/>
      <c r="AI75" s="70"/>
      <c r="AJ75" s="70"/>
      <c r="AK75" s="70"/>
      <c r="AL75" s="70"/>
      <c r="AM75" s="70"/>
      <c r="AN75" s="70"/>
      <c r="AO75" s="70"/>
      <c r="BB75" s="141"/>
      <c r="BC75" s="141"/>
    </row>
    <row r="76" spans="2:55" ht="14.1" customHeight="1">
      <c r="B76" s="98"/>
      <c r="C76" s="77"/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96"/>
      <c r="X76" s="66"/>
      <c r="AD76" s="67"/>
      <c r="AE76" s="67"/>
      <c r="AF76" s="67"/>
      <c r="AI76" s="70"/>
      <c r="AJ76" s="70"/>
      <c r="AK76" s="70"/>
      <c r="AL76" s="70"/>
      <c r="AM76" s="70"/>
      <c r="AN76" s="70"/>
      <c r="AO76" s="70"/>
      <c r="BB76" s="141"/>
      <c r="BC76" s="141"/>
    </row>
    <row r="77" spans="2:55" ht="14.1" customHeight="1">
      <c r="B77" s="98"/>
      <c r="C77" s="77"/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96"/>
      <c r="X77" s="66"/>
      <c r="AD77" s="67"/>
      <c r="AE77" s="67"/>
      <c r="AF77" s="67"/>
      <c r="AI77" s="70"/>
      <c r="AJ77" s="70"/>
      <c r="AK77" s="70"/>
      <c r="AL77" s="70"/>
      <c r="AM77" s="70"/>
      <c r="AN77" s="70"/>
      <c r="AO77" s="70"/>
      <c r="BB77" s="141"/>
      <c r="BC77" s="141"/>
    </row>
    <row r="78" spans="2:55" ht="14.1" customHeight="1">
      <c r="B78" s="98"/>
      <c r="C78" s="77"/>
      <c r="D78" s="77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96"/>
      <c r="X78" s="66"/>
      <c r="AD78" s="67"/>
      <c r="AE78" s="67"/>
      <c r="AF78" s="67"/>
      <c r="AI78" s="70"/>
      <c r="AJ78" s="70"/>
      <c r="AK78" s="70"/>
      <c r="AL78" s="70"/>
      <c r="AM78" s="70"/>
      <c r="AN78" s="70"/>
      <c r="AO78" s="70"/>
      <c r="BB78" s="141"/>
      <c r="BC78" s="141"/>
    </row>
    <row r="79" spans="2:55" ht="14.1" customHeight="1">
      <c r="B79" s="98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96"/>
      <c r="X79" s="66"/>
      <c r="AD79" s="67"/>
      <c r="AE79" s="67"/>
      <c r="AF79" s="67"/>
      <c r="AI79" s="70"/>
      <c r="AJ79" s="70"/>
      <c r="AK79" s="70"/>
      <c r="AL79" s="70"/>
      <c r="AM79" s="70"/>
      <c r="AN79" s="70"/>
      <c r="AO79" s="70"/>
      <c r="BB79" s="141"/>
      <c r="BC79" s="141"/>
    </row>
    <row r="80" spans="2:55" ht="14.1" customHeight="1">
      <c r="B80" s="98"/>
      <c r="C80" s="77"/>
      <c r="D80" s="77"/>
      <c r="E80" s="104"/>
      <c r="F80" s="77"/>
      <c r="G80" s="77"/>
      <c r="H80" s="104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96"/>
      <c r="X80" s="66"/>
      <c r="AD80" s="67"/>
      <c r="AE80" s="67"/>
      <c r="AF80" s="67"/>
      <c r="AI80" s="70"/>
      <c r="AJ80" s="70"/>
      <c r="AK80" s="70"/>
      <c r="AL80" s="70"/>
      <c r="AM80" s="70"/>
      <c r="AN80" s="70"/>
      <c r="AO80" s="70"/>
      <c r="BB80" s="141"/>
      <c r="BC80" s="141"/>
    </row>
    <row r="81" spans="2:55" ht="14.1" customHeight="1">
      <c r="B81" s="98"/>
      <c r="C81" s="77"/>
      <c r="D81" s="77"/>
      <c r="E81" s="104"/>
      <c r="F81" s="77"/>
      <c r="G81" s="104"/>
      <c r="H81" s="104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96"/>
      <c r="X81" s="66"/>
      <c r="AD81" s="67"/>
      <c r="AE81" s="67"/>
      <c r="AF81" s="67"/>
      <c r="AI81" s="70"/>
      <c r="AJ81" s="70"/>
      <c r="AK81" s="70"/>
      <c r="AL81" s="70"/>
      <c r="AM81" s="70"/>
      <c r="AN81" s="70"/>
      <c r="AO81" s="70"/>
      <c r="BB81" s="141"/>
      <c r="BC81" s="141"/>
    </row>
    <row r="82" spans="2:55" ht="14.1" customHeight="1">
      <c r="B82" s="98"/>
      <c r="C82" s="77"/>
      <c r="D82" s="77"/>
      <c r="E82" s="77"/>
      <c r="F82" s="77"/>
      <c r="G82" s="77"/>
      <c r="H82" s="104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96"/>
      <c r="X82" s="66"/>
      <c r="AD82" s="67"/>
      <c r="AE82" s="67"/>
      <c r="AF82" s="67"/>
      <c r="AI82" s="70"/>
      <c r="AJ82" s="70"/>
      <c r="AK82" s="70"/>
      <c r="AL82" s="70"/>
      <c r="AM82" s="70"/>
      <c r="AN82" s="70"/>
      <c r="AO82" s="70"/>
      <c r="BB82" s="141"/>
      <c r="BC82" s="141"/>
    </row>
    <row r="83" spans="2:55" ht="14.1" customHeight="1">
      <c r="B83" s="98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96"/>
      <c r="X83" s="66"/>
      <c r="AD83" s="67"/>
      <c r="AE83" s="67"/>
      <c r="AF83" s="67"/>
      <c r="AI83" s="70"/>
      <c r="AJ83" s="70"/>
      <c r="AK83" s="70"/>
      <c r="AL83" s="70"/>
      <c r="AM83" s="70"/>
      <c r="AN83" s="70"/>
      <c r="AO83" s="70"/>
      <c r="BB83" s="141"/>
      <c r="BC83" s="141"/>
    </row>
    <row r="84" spans="2:55" ht="18">
      <c r="B84" s="289" t="s">
        <v>81</v>
      </c>
      <c r="C84" s="290"/>
      <c r="D84" s="290"/>
      <c r="E84" s="290"/>
      <c r="F84" s="290"/>
      <c r="G84" s="290"/>
      <c r="H84" s="290"/>
      <c r="I84" s="290"/>
      <c r="J84" s="290"/>
      <c r="K84" s="290"/>
      <c r="L84" s="290"/>
      <c r="M84" s="290"/>
      <c r="N84" s="290"/>
      <c r="O84" s="290"/>
      <c r="P84" s="290"/>
      <c r="Q84" s="290"/>
      <c r="R84" s="290"/>
      <c r="S84" s="290"/>
      <c r="T84" s="290"/>
      <c r="U84" s="290"/>
      <c r="V84" s="291"/>
      <c r="X84" s="66"/>
      <c r="AD84" s="67"/>
      <c r="AE84" s="67"/>
      <c r="AF84" s="67"/>
      <c r="AI84" s="70"/>
      <c r="AJ84" s="70"/>
      <c r="AK84" s="70"/>
      <c r="AL84" s="70"/>
      <c r="AM84" s="70"/>
      <c r="AN84" s="70"/>
      <c r="AO84" s="70"/>
      <c r="BB84" s="141"/>
      <c r="BC84" s="141"/>
    </row>
    <row r="85" spans="2:55" ht="14.1" customHeight="1">
      <c r="B85" s="23"/>
      <c r="V85" s="50"/>
      <c r="X85" s="66"/>
      <c r="AD85" s="67"/>
      <c r="AE85" s="67"/>
      <c r="AF85" s="67"/>
      <c r="AI85" s="70"/>
      <c r="AJ85" s="70"/>
      <c r="AK85" s="70"/>
      <c r="AL85" s="70"/>
      <c r="AM85" s="70"/>
      <c r="AN85" s="70"/>
      <c r="AO85" s="70"/>
      <c r="BB85" s="141"/>
      <c r="BC85" s="141"/>
    </row>
    <row r="86" spans="2:55" ht="14.1" customHeight="1">
      <c r="B86" s="23"/>
      <c r="C86" s="59"/>
      <c r="D86" s="166" t="s">
        <v>82</v>
      </c>
      <c r="E86" s="166"/>
      <c r="F86" s="166"/>
      <c r="G86" s="166"/>
      <c r="H86" s="166"/>
      <c r="I86" s="166"/>
      <c r="J86" s="166"/>
      <c r="K86" s="166"/>
      <c r="L86" s="166"/>
      <c r="M86" s="166"/>
      <c r="N86" s="166"/>
      <c r="O86" s="166"/>
      <c r="P86" s="166"/>
      <c r="Q86" s="166"/>
      <c r="R86" s="170" t="s">
        <v>0</v>
      </c>
      <c r="S86" s="171"/>
      <c r="T86" s="172"/>
      <c r="V86" s="50"/>
      <c r="X86" s="66"/>
      <c r="AD86" s="67"/>
      <c r="AE86" s="67"/>
      <c r="AF86" s="67"/>
      <c r="AI86" s="70"/>
      <c r="AJ86" s="70"/>
      <c r="AK86" s="70"/>
      <c r="AL86" s="70"/>
      <c r="AM86" s="70"/>
      <c r="AN86" s="70"/>
      <c r="AO86" s="70"/>
      <c r="BB86" s="141"/>
      <c r="BC86" s="141"/>
    </row>
    <row r="87" spans="2:55" ht="14.1" customHeight="1">
      <c r="B87" s="23"/>
      <c r="C87" s="59"/>
      <c r="D87" s="36" t="s">
        <v>1</v>
      </c>
      <c r="E87" s="17" t="s">
        <v>3</v>
      </c>
      <c r="F87" s="17" t="s">
        <v>4</v>
      </c>
      <c r="G87" s="17" t="s">
        <v>5</v>
      </c>
      <c r="H87" s="17" t="s">
        <v>6</v>
      </c>
      <c r="I87" s="17" t="s">
        <v>7</v>
      </c>
      <c r="J87" s="17" t="s">
        <v>137</v>
      </c>
      <c r="K87" s="17" t="s">
        <v>138</v>
      </c>
      <c r="L87" s="17" t="s">
        <v>139</v>
      </c>
      <c r="M87" s="17" t="s">
        <v>140</v>
      </c>
      <c r="N87" s="17" t="s">
        <v>141</v>
      </c>
      <c r="O87" s="17" t="s">
        <v>142</v>
      </c>
      <c r="P87" s="17" t="s">
        <v>143</v>
      </c>
      <c r="Q87" s="17" t="s">
        <v>144</v>
      </c>
      <c r="R87" s="17" t="s">
        <v>8</v>
      </c>
      <c r="S87" s="17" t="s">
        <v>9</v>
      </c>
      <c r="T87" s="17" t="s">
        <v>10</v>
      </c>
      <c r="V87" s="50"/>
      <c r="X87" s="66"/>
      <c r="AD87" s="67"/>
      <c r="AE87" s="67"/>
      <c r="AF87" s="67"/>
      <c r="AI87" s="70"/>
      <c r="AJ87" s="70"/>
      <c r="AK87" s="70"/>
      <c r="AL87" s="70"/>
      <c r="AM87" s="70"/>
      <c r="AN87" s="70"/>
      <c r="AO87" s="70"/>
      <c r="BB87" s="141"/>
      <c r="BC87" s="141"/>
    </row>
    <row r="88" spans="2:55" ht="14.1" customHeight="1">
      <c r="B88" s="23"/>
      <c r="C88" s="72">
        <v>0.3354166666666667</v>
      </c>
      <c r="D88" s="16">
        <v>0</v>
      </c>
      <c r="E88" s="68">
        <v>1</v>
      </c>
      <c r="F88" s="68">
        <v>1</v>
      </c>
      <c r="G88" s="68">
        <v>1</v>
      </c>
      <c r="H88" s="68">
        <v>1</v>
      </c>
      <c r="I88" s="68">
        <v>1</v>
      </c>
      <c r="J88" s="68">
        <v>1</v>
      </c>
      <c r="K88" s="68">
        <v>1</v>
      </c>
      <c r="L88" s="68">
        <v>1</v>
      </c>
      <c r="M88" s="68">
        <v>1</v>
      </c>
      <c r="N88" s="68">
        <v>1</v>
      </c>
      <c r="O88" s="68">
        <v>1</v>
      </c>
      <c r="P88" s="68">
        <v>1</v>
      </c>
      <c r="Q88" s="68">
        <v>1</v>
      </c>
      <c r="R88" s="68">
        <v>1</v>
      </c>
      <c r="S88" s="68">
        <v>1</v>
      </c>
      <c r="T88" s="68">
        <v>1</v>
      </c>
      <c r="V88" s="50"/>
      <c r="X88" s="66"/>
      <c r="AD88" s="67"/>
      <c r="AE88" s="67"/>
      <c r="AF88" s="67"/>
      <c r="AI88" s="70"/>
      <c r="AJ88" s="70"/>
      <c r="AK88" s="70"/>
      <c r="AL88" s="70"/>
      <c r="AM88" s="70"/>
      <c r="AN88" s="70"/>
      <c r="AO88" s="70"/>
      <c r="BB88" s="142">
        <v>36.200000000000003</v>
      </c>
      <c r="BC88" s="141"/>
    </row>
    <row r="89" spans="2:55" ht="14.1" customHeight="1">
      <c r="B89" s="23"/>
      <c r="C89" s="72">
        <f>C88+0.0035</f>
        <v>0.3389166666666667</v>
      </c>
      <c r="D89" s="16">
        <v>5</v>
      </c>
      <c r="E89" s="68">
        <v>2</v>
      </c>
      <c r="F89" s="68">
        <v>2</v>
      </c>
      <c r="G89" s="68">
        <v>2</v>
      </c>
      <c r="H89" s="68">
        <v>2</v>
      </c>
      <c r="I89" s="68">
        <v>2</v>
      </c>
      <c r="J89" s="68">
        <v>2</v>
      </c>
      <c r="K89" s="68">
        <v>2</v>
      </c>
      <c r="L89" s="68">
        <v>2</v>
      </c>
      <c r="M89" s="68">
        <v>2</v>
      </c>
      <c r="N89" s="68">
        <v>2</v>
      </c>
      <c r="O89" s="68">
        <v>2</v>
      </c>
      <c r="P89" s="68">
        <v>2</v>
      </c>
      <c r="Q89" s="68">
        <v>2</v>
      </c>
      <c r="R89" s="68">
        <v>2</v>
      </c>
      <c r="S89" s="68">
        <v>2</v>
      </c>
      <c r="T89" s="68">
        <v>2</v>
      </c>
      <c r="V89" s="50"/>
      <c r="X89" s="66"/>
      <c r="AD89" s="67"/>
      <c r="AE89" s="67"/>
      <c r="AF89" s="67"/>
      <c r="AI89" s="70"/>
      <c r="AJ89" s="70"/>
      <c r="AK89" s="70"/>
      <c r="AL89" s="70"/>
      <c r="AM89" s="70"/>
      <c r="AN89" s="70"/>
      <c r="AO89" s="70"/>
      <c r="BB89" s="141"/>
      <c r="BC89" s="141"/>
    </row>
    <row r="90" spans="2:55" ht="14.1" customHeight="1">
      <c r="B90" s="23"/>
      <c r="C90" s="72">
        <f t="shared" ref="C90:C116" si="0">C89+0.0035</f>
        <v>0.3424166666666667</v>
      </c>
      <c r="D90" s="16">
        <v>10</v>
      </c>
      <c r="E90" s="68">
        <v>3</v>
      </c>
      <c r="F90" s="68">
        <v>3</v>
      </c>
      <c r="G90" s="68">
        <v>3</v>
      </c>
      <c r="H90" s="68">
        <v>3</v>
      </c>
      <c r="I90" s="68">
        <v>3</v>
      </c>
      <c r="J90" s="68">
        <v>3</v>
      </c>
      <c r="K90" s="68">
        <v>3</v>
      </c>
      <c r="L90" s="68">
        <v>3</v>
      </c>
      <c r="M90" s="68">
        <v>3</v>
      </c>
      <c r="N90" s="68">
        <v>3</v>
      </c>
      <c r="O90" s="68">
        <v>3</v>
      </c>
      <c r="P90" s="68">
        <v>3</v>
      </c>
      <c r="Q90" s="68">
        <v>3</v>
      </c>
      <c r="R90" s="68">
        <v>3</v>
      </c>
      <c r="S90" s="68">
        <v>3</v>
      </c>
      <c r="T90" s="68">
        <v>3</v>
      </c>
      <c r="V90" s="50"/>
      <c r="X90" s="66"/>
      <c r="AD90" s="67"/>
      <c r="AE90" s="67"/>
      <c r="AF90" s="67"/>
      <c r="AI90" s="70"/>
      <c r="AJ90" s="70"/>
      <c r="AK90" s="70"/>
      <c r="AL90" s="70"/>
      <c r="AM90" s="70"/>
      <c r="AN90" s="70"/>
      <c r="AO90" s="70"/>
      <c r="BB90" s="141"/>
      <c r="BC90" s="141"/>
    </row>
    <row r="91" spans="2:55" ht="14.1" customHeight="1">
      <c r="B91" s="23"/>
      <c r="C91" s="72">
        <f t="shared" si="0"/>
        <v>0.34591666666666671</v>
      </c>
      <c r="D91" s="16">
        <v>15</v>
      </c>
      <c r="E91" s="68">
        <v>4</v>
      </c>
      <c r="F91" s="68">
        <v>4</v>
      </c>
      <c r="G91" s="68">
        <v>4</v>
      </c>
      <c r="H91" s="68">
        <v>4</v>
      </c>
      <c r="I91" s="68">
        <v>4</v>
      </c>
      <c r="J91" s="68">
        <v>4</v>
      </c>
      <c r="K91" s="68">
        <v>4</v>
      </c>
      <c r="L91" s="68">
        <v>4</v>
      </c>
      <c r="M91" s="68">
        <v>4</v>
      </c>
      <c r="N91" s="68">
        <v>4</v>
      </c>
      <c r="O91" s="68">
        <v>4</v>
      </c>
      <c r="P91" s="68">
        <v>4</v>
      </c>
      <c r="Q91" s="68">
        <v>4</v>
      </c>
      <c r="R91" s="68">
        <v>4</v>
      </c>
      <c r="S91" s="68">
        <v>4</v>
      </c>
      <c r="T91" s="68">
        <v>4</v>
      </c>
      <c r="V91" s="50"/>
      <c r="X91" s="66"/>
      <c r="AD91" s="67"/>
      <c r="AE91" s="67"/>
      <c r="AF91" s="67"/>
      <c r="AI91" s="70"/>
      <c r="AJ91" s="70"/>
      <c r="AK91" s="70"/>
      <c r="AL91" s="70"/>
      <c r="AM91" s="70"/>
      <c r="AN91" s="70"/>
      <c r="AO91" s="70"/>
      <c r="BB91" s="141"/>
      <c r="BC91" s="141"/>
    </row>
    <row r="92" spans="2:55" ht="14.1" customHeight="1">
      <c r="B92" s="23"/>
      <c r="C92" s="72">
        <f t="shared" si="0"/>
        <v>0.34941666666666671</v>
      </c>
      <c r="D92" s="16">
        <v>20</v>
      </c>
      <c r="E92" s="68">
        <v>5</v>
      </c>
      <c r="F92" s="68">
        <v>5</v>
      </c>
      <c r="G92" s="68">
        <v>5</v>
      </c>
      <c r="H92" s="68">
        <v>5</v>
      </c>
      <c r="I92" s="68">
        <v>5</v>
      </c>
      <c r="J92" s="68">
        <v>5</v>
      </c>
      <c r="K92" s="68">
        <v>5</v>
      </c>
      <c r="L92" s="68">
        <v>5</v>
      </c>
      <c r="M92" s="68">
        <v>5</v>
      </c>
      <c r="N92" s="68">
        <v>5</v>
      </c>
      <c r="O92" s="68">
        <v>5</v>
      </c>
      <c r="P92" s="68">
        <v>5</v>
      </c>
      <c r="Q92" s="68">
        <v>5</v>
      </c>
      <c r="R92" s="68">
        <v>5</v>
      </c>
      <c r="S92" s="68">
        <v>5</v>
      </c>
      <c r="T92" s="68">
        <v>5</v>
      </c>
      <c r="V92" s="50"/>
      <c r="X92" s="66"/>
      <c r="AD92" s="67"/>
      <c r="AE92" s="67"/>
      <c r="AF92" s="67"/>
      <c r="AI92" s="70"/>
      <c r="AJ92" s="70"/>
      <c r="AK92" s="70"/>
      <c r="AL92" s="70"/>
      <c r="AM92" s="70"/>
      <c r="AN92" s="70"/>
      <c r="AO92" s="70"/>
      <c r="BB92" s="141"/>
      <c r="BC92" s="141"/>
    </row>
    <row r="93" spans="2:55" ht="14.1" customHeight="1">
      <c r="B93" s="23"/>
      <c r="C93" s="72">
        <f t="shared" si="0"/>
        <v>0.35291666666666671</v>
      </c>
      <c r="D93" s="16">
        <v>25</v>
      </c>
      <c r="E93" s="68">
        <v>6</v>
      </c>
      <c r="F93" s="68">
        <v>6</v>
      </c>
      <c r="G93" s="68">
        <v>6</v>
      </c>
      <c r="H93" s="68">
        <v>6</v>
      </c>
      <c r="I93" s="68">
        <v>6</v>
      </c>
      <c r="J93" s="68">
        <v>6</v>
      </c>
      <c r="K93" s="68">
        <v>6</v>
      </c>
      <c r="L93" s="68">
        <v>6</v>
      </c>
      <c r="M93" s="68">
        <v>6</v>
      </c>
      <c r="N93" s="68">
        <v>6</v>
      </c>
      <c r="O93" s="68">
        <v>6</v>
      </c>
      <c r="P93" s="68">
        <v>6</v>
      </c>
      <c r="Q93" s="68">
        <v>6</v>
      </c>
      <c r="R93" s="68">
        <v>6</v>
      </c>
      <c r="S93" s="68">
        <v>6</v>
      </c>
      <c r="T93" s="68">
        <v>6</v>
      </c>
      <c r="V93" s="50"/>
      <c r="BB93" s="141">
        <v>4.6795999999999998</v>
      </c>
      <c r="BC93" s="141"/>
    </row>
    <row r="94" spans="2:55" ht="14.1" customHeight="1">
      <c r="B94" s="23"/>
      <c r="C94" s="72">
        <f t="shared" si="0"/>
        <v>0.35641666666666671</v>
      </c>
      <c r="D94" s="65">
        <v>30</v>
      </c>
      <c r="E94" s="69">
        <v>7</v>
      </c>
      <c r="F94" s="69">
        <v>7</v>
      </c>
      <c r="G94" s="69">
        <v>7</v>
      </c>
      <c r="H94" s="69">
        <v>7</v>
      </c>
      <c r="I94" s="69">
        <v>7</v>
      </c>
      <c r="J94" s="69">
        <v>7</v>
      </c>
      <c r="K94" s="69">
        <v>7</v>
      </c>
      <c r="L94" s="69">
        <v>7</v>
      </c>
      <c r="M94" s="69">
        <v>7</v>
      </c>
      <c r="N94" s="69">
        <v>7</v>
      </c>
      <c r="O94" s="69">
        <v>7</v>
      </c>
      <c r="P94" s="69">
        <v>7</v>
      </c>
      <c r="Q94" s="69">
        <v>7</v>
      </c>
      <c r="R94" s="69">
        <v>7</v>
      </c>
      <c r="S94" s="69">
        <v>7</v>
      </c>
      <c r="T94" s="69">
        <v>7</v>
      </c>
      <c r="V94" s="50"/>
      <c r="BB94" s="141"/>
      <c r="BC94" s="141"/>
    </row>
    <row r="95" spans="2:55" ht="14.1" customHeight="1">
      <c r="B95" s="23"/>
      <c r="C95" s="72">
        <f t="shared" si="0"/>
        <v>0.35991666666666672</v>
      </c>
      <c r="D95" s="16">
        <v>35</v>
      </c>
      <c r="E95" s="68">
        <v>8</v>
      </c>
      <c r="F95" s="68">
        <v>8</v>
      </c>
      <c r="G95" s="68">
        <v>8</v>
      </c>
      <c r="H95" s="68">
        <v>8</v>
      </c>
      <c r="I95" s="68">
        <v>8</v>
      </c>
      <c r="J95" s="68">
        <v>8</v>
      </c>
      <c r="K95" s="68">
        <v>8</v>
      </c>
      <c r="L95" s="68">
        <v>8</v>
      </c>
      <c r="M95" s="68">
        <v>8</v>
      </c>
      <c r="N95" s="68">
        <v>8</v>
      </c>
      <c r="O95" s="68">
        <v>8</v>
      </c>
      <c r="P95" s="68">
        <v>8</v>
      </c>
      <c r="Q95" s="68">
        <v>8</v>
      </c>
      <c r="R95" s="68">
        <v>8</v>
      </c>
      <c r="S95" s="68">
        <v>8</v>
      </c>
      <c r="T95" s="68">
        <v>8</v>
      </c>
      <c r="V95" s="50"/>
      <c r="BB95" s="141"/>
      <c r="BC95" s="141"/>
    </row>
    <row r="96" spans="2:55" ht="14.1" customHeight="1">
      <c r="B96" s="23"/>
      <c r="C96" s="72">
        <f t="shared" si="0"/>
        <v>0.36341666666666672</v>
      </c>
      <c r="D96" s="16">
        <v>40</v>
      </c>
      <c r="E96" s="68">
        <v>9</v>
      </c>
      <c r="F96" s="68">
        <v>9</v>
      </c>
      <c r="G96" s="68">
        <v>9</v>
      </c>
      <c r="H96" s="68">
        <v>9</v>
      </c>
      <c r="I96" s="68">
        <v>9</v>
      </c>
      <c r="J96" s="68">
        <v>9</v>
      </c>
      <c r="K96" s="68">
        <v>9</v>
      </c>
      <c r="L96" s="68">
        <v>9</v>
      </c>
      <c r="M96" s="68">
        <v>9</v>
      </c>
      <c r="N96" s="68">
        <v>9</v>
      </c>
      <c r="O96" s="68">
        <v>9</v>
      </c>
      <c r="P96" s="68">
        <v>9</v>
      </c>
      <c r="Q96" s="68">
        <v>9</v>
      </c>
      <c r="R96" s="68">
        <v>9</v>
      </c>
      <c r="S96" s="68">
        <v>9</v>
      </c>
      <c r="T96" s="68">
        <v>9</v>
      </c>
      <c r="V96" s="50"/>
      <c r="BB96" s="141"/>
      <c r="BC96" s="141"/>
    </row>
    <row r="97" spans="2:55" ht="14.1" customHeight="1">
      <c r="B97" s="23"/>
      <c r="C97" s="72">
        <f t="shared" si="0"/>
        <v>0.36691666666666672</v>
      </c>
      <c r="D97" s="16">
        <v>45</v>
      </c>
      <c r="E97" s="68">
        <v>10</v>
      </c>
      <c r="F97" s="68">
        <v>10</v>
      </c>
      <c r="G97" s="68">
        <v>10</v>
      </c>
      <c r="H97" s="68">
        <v>10</v>
      </c>
      <c r="I97" s="68">
        <v>10</v>
      </c>
      <c r="J97" s="68">
        <v>10</v>
      </c>
      <c r="K97" s="68">
        <v>10</v>
      </c>
      <c r="L97" s="68">
        <v>10</v>
      </c>
      <c r="M97" s="68">
        <v>10</v>
      </c>
      <c r="N97" s="68">
        <v>10</v>
      </c>
      <c r="O97" s="68">
        <v>10</v>
      </c>
      <c r="P97" s="68">
        <v>10</v>
      </c>
      <c r="Q97" s="68">
        <v>10</v>
      </c>
      <c r="R97" s="68">
        <v>10</v>
      </c>
      <c r="S97" s="68">
        <v>10</v>
      </c>
      <c r="T97" s="68">
        <v>10</v>
      </c>
      <c r="V97" s="50"/>
      <c r="BB97" s="141"/>
      <c r="BC97" s="141"/>
    </row>
    <row r="98" spans="2:55" ht="14.1" customHeight="1">
      <c r="B98" s="23"/>
      <c r="C98" s="72">
        <f t="shared" si="0"/>
        <v>0.37041666666666673</v>
      </c>
      <c r="D98" s="16">
        <v>50</v>
      </c>
      <c r="E98" s="68">
        <v>11</v>
      </c>
      <c r="F98" s="68">
        <v>11</v>
      </c>
      <c r="G98" s="68">
        <v>11</v>
      </c>
      <c r="H98" s="68">
        <v>11</v>
      </c>
      <c r="I98" s="68">
        <v>11</v>
      </c>
      <c r="J98" s="68">
        <v>11</v>
      </c>
      <c r="K98" s="68">
        <v>11</v>
      </c>
      <c r="L98" s="68">
        <v>11</v>
      </c>
      <c r="M98" s="68">
        <v>11</v>
      </c>
      <c r="N98" s="68">
        <v>11</v>
      </c>
      <c r="O98" s="68">
        <v>11</v>
      </c>
      <c r="P98" s="68">
        <v>11</v>
      </c>
      <c r="Q98" s="68">
        <v>11</v>
      </c>
      <c r="R98" s="68">
        <v>11</v>
      </c>
      <c r="S98" s="68">
        <v>11</v>
      </c>
      <c r="T98" s="68">
        <v>11</v>
      </c>
      <c r="V98" s="50"/>
      <c r="BB98" s="141"/>
      <c r="BC98" s="141"/>
    </row>
    <row r="99" spans="2:55" ht="14.1" customHeight="1">
      <c r="B99" s="23"/>
      <c r="C99" s="72">
        <f t="shared" si="0"/>
        <v>0.37391666666666673</v>
      </c>
      <c r="D99" s="16">
        <v>55</v>
      </c>
      <c r="E99" s="68">
        <v>12</v>
      </c>
      <c r="F99" s="68">
        <v>12</v>
      </c>
      <c r="G99" s="68">
        <v>12</v>
      </c>
      <c r="H99" s="68">
        <v>12</v>
      </c>
      <c r="I99" s="68">
        <v>12</v>
      </c>
      <c r="J99" s="68">
        <v>12</v>
      </c>
      <c r="K99" s="68">
        <v>12</v>
      </c>
      <c r="L99" s="68">
        <v>12</v>
      </c>
      <c r="M99" s="68">
        <v>12</v>
      </c>
      <c r="N99" s="68">
        <v>12</v>
      </c>
      <c r="O99" s="68">
        <v>12</v>
      </c>
      <c r="P99" s="68">
        <v>12</v>
      </c>
      <c r="Q99" s="68">
        <v>12</v>
      </c>
      <c r="R99" s="68">
        <v>12</v>
      </c>
      <c r="S99" s="68">
        <v>12</v>
      </c>
      <c r="T99" s="68">
        <v>12</v>
      </c>
      <c r="V99" s="50"/>
      <c r="BB99" s="141"/>
      <c r="BC99" s="141"/>
    </row>
    <row r="100" spans="2:55" ht="13.5" customHeight="1">
      <c r="B100" s="23"/>
      <c r="C100" s="72">
        <f t="shared" si="0"/>
        <v>0.37741666666666673</v>
      </c>
      <c r="D100" s="65">
        <v>60</v>
      </c>
      <c r="E100" s="69">
        <v>13</v>
      </c>
      <c r="F100" s="69">
        <v>13</v>
      </c>
      <c r="G100" s="69">
        <v>13</v>
      </c>
      <c r="H100" s="69">
        <v>13</v>
      </c>
      <c r="I100" s="69">
        <v>13</v>
      </c>
      <c r="J100" s="69">
        <v>13</v>
      </c>
      <c r="K100" s="69">
        <v>13</v>
      </c>
      <c r="L100" s="69">
        <v>13</v>
      </c>
      <c r="M100" s="69">
        <v>13</v>
      </c>
      <c r="N100" s="69">
        <v>13</v>
      </c>
      <c r="O100" s="69">
        <v>13</v>
      </c>
      <c r="P100" s="69">
        <v>13</v>
      </c>
      <c r="Q100" s="69">
        <v>13</v>
      </c>
      <c r="R100" s="69">
        <v>13</v>
      </c>
      <c r="S100" s="69">
        <v>13</v>
      </c>
      <c r="T100" s="69">
        <v>13</v>
      </c>
      <c r="V100" s="50"/>
    </row>
    <row r="101" spans="2:55" ht="14.1" customHeight="1">
      <c r="B101" s="23"/>
      <c r="C101" s="72">
        <f t="shared" si="0"/>
        <v>0.38091666666666674</v>
      </c>
      <c r="D101" s="16">
        <v>65</v>
      </c>
      <c r="E101" s="68">
        <v>14</v>
      </c>
      <c r="F101" s="68">
        <v>14</v>
      </c>
      <c r="G101" s="68">
        <v>14</v>
      </c>
      <c r="H101" s="68">
        <v>14</v>
      </c>
      <c r="I101" s="68">
        <v>14</v>
      </c>
      <c r="J101" s="68">
        <v>14</v>
      </c>
      <c r="K101" s="68">
        <v>14</v>
      </c>
      <c r="L101" s="68">
        <v>14</v>
      </c>
      <c r="M101" s="68">
        <v>14</v>
      </c>
      <c r="N101" s="68">
        <v>14</v>
      </c>
      <c r="O101" s="68">
        <v>14</v>
      </c>
      <c r="P101" s="68">
        <v>14</v>
      </c>
      <c r="Q101" s="68">
        <v>14</v>
      </c>
      <c r="R101" s="68">
        <v>14</v>
      </c>
      <c r="S101" s="68">
        <v>14</v>
      </c>
      <c r="T101" s="68">
        <v>14</v>
      </c>
      <c r="V101" s="50"/>
    </row>
    <row r="102" spans="2:55" ht="14.1" customHeight="1">
      <c r="B102" s="23"/>
      <c r="C102" s="72">
        <f t="shared" si="0"/>
        <v>0.38441666666666674</v>
      </c>
      <c r="D102" s="16">
        <v>70</v>
      </c>
      <c r="E102" s="68">
        <v>15</v>
      </c>
      <c r="F102" s="68">
        <v>15</v>
      </c>
      <c r="G102" s="68">
        <v>15</v>
      </c>
      <c r="H102" s="68">
        <v>15</v>
      </c>
      <c r="I102" s="68">
        <v>15</v>
      </c>
      <c r="J102" s="68">
        <v>15</v>
      </c>
      <c r="K102" s="68">
        <v>15</v>
      </c>
      <c r="L102" s="68">
        <v>15</v>
      </c>
      <c r="M102" s="68">
        <v>15</v>
      </c>
      <c r="N102" s="68">
        <v>15</v>
      </c>
      <c r="O102" s="68">
        <v>15</v>
      </c>
      <c r="P102" s="68">
        <v>15</v>
      </c>
      <c r="Q102" s="68">
        <v>15</v>
      </c>
      <c r="R102" s="68">
        <v>15</v>
      </c>
      <c r="S102" s="68">
        <v>15</v>
      </c>
      <c r="T102" s="68">
        <v>15</v>
      </c>
      <c r="V102" s="50"/>
    </row>
    <row r="103" spans="2:55" ht="14.1" customHeight="1">
      <c r="B103" s="23"/>
      <c r="C103" s="72">
        <f t="shared" si="0"/>
        <v>0.38791666666666674</v>
      </c>
      <c r="D103" s="16">
        <v>75</v>
      </c>
      <c r="E103" s="68">
        <v>16</v>
      </c>
      <c r="F103" s="68">
        <v>16</v>
      </c>
      <c r="G103" s="68">
        <v>16</v>
      </c>
      <c r="H103" s="68">
        <v>16</v>
      </c>
      <c r="I103" s="68">
        <v>16</v>
      </c>
      <c r="J103" s="68">
        <v>16</v>
      </c>
      <c r="K103" s="68">
        <v>16</v>
      </c>
      <c r="L103" s="68">
        <v>16</v>
      </c>
      <c r="M103" s="68">
        <v>16</v>
      </c>
      <c r="N103" s="68">
        <v>16</v>
      </c>
      <c r="O103" s="68">
        <v>16</v>
      </c>
      <c r="P103" s="68">
        <v>16</v>
      </c>
      <c r="Q103" s="68">
        <v>16</v>
      </c>
      <c r="R103" s="68">
        <v>16</v>
      </c>
      <c r="S103" s="68">
        <v>16</v>
      </c>
      <c r="T103" s="68">
        <v>16</v>
      </c>
      <c r="V103" s="50"/>
    </row>
    <row r="104" spans="2:55" ht="14.1" customHeight="1">
      <c r="B104" s="23"/>
      <c r="C104" s="72">
        <f t="shared" si="0"/>
        <v>0.39141666666666675</v>
      </c>
      <c r="D104" s="16">
        <v>80</v>
      </c>
      <c r="E104" s="68">
        <v>17</v>
      </c>
      <c r="F104" s="68">
        <v>17</v>
      </c>
      <c r="G104" s="68">
        <v>17</v>
      </c>
      <c r="H104" s="68">
        <v>17</v>
      </c>
      <c r="I104" s="68">
        <v>17</v>
      </c>
      <c r="J104" s="68">
        <v>17</v>
      </c>
      <c r="K104" s="68">
        <v>17</v>
      </c>
      <c r="L104" s="68">
        <v>17</v>
      </c>
      <c r="M104" s="68">
        <v>17</v>
      </c>
      <c r="N104" s="68">
        <v>17</v>
      </c>
      <c r="O104" s="68">
        <v>17</v>
      </c>
      <c r="P104" s="68">
        <v>17</v>
      </c>
      <c r="Q104" s="68">
        <v>17</v>
      </c>
      <c r="R104" s="68">
        <v>17</v>
      </c>
      <c r="S104" s="68">
        <v>17</v>
      </c>
      <c r="T104" s="68">
        <v>17</v>
      </c>
      <c r="V104" s="50"/>
    </row>
    <row r="105" spans="2:55" ht="14.1" customHeight="1">
      <c r="B105" s="23"/>
      <c r="C105" s="72">
        <f t="shared" si="0"/>
        <v>0.39491666666666675</v>
      </c>
      <c r="D105" s="16">
        <v>85</v>
      </c>
      <c r="E105" s="68">
        <v>18</v>
      </c>
      <c r="F105" s="68">
        <v>18</v>
      </c>
      <c r="G105" s="68">
        <v>18</v>
      </c>
      <c r="H105" s="68">
        <v>18</v>
      </c>
      <c r="I105" s="68">
        <v>18</v>
      </c>
      <c r="J105" s="68">
        <v>18</v>
      </c>
      <c r="K105" s="68">
        <v>18</v>
      </c>
      <c r="L105" s="68">
        <v>18</v>
      </c>
      <c r="M105" s="68">
        <v>18</v>
      </c>
      <c r="N105" s="68">
        <v>18</v>
      </c>
      <c r="O105" s="68">
        <v>18</v>
      </c>
      <c r="P105" s="68">
        <v>18</v>
      </c>
      <c r="Q105" s="68">
        <v>18</v>
      </c>
      <c r="R105" s="68">
        <v>18</v>
      </c>
      <c r="S105" s="68">
        <v>18</v>
      </c>
      <c r="T105" s="68">
        <v>18</v>
      </c>
      <c r="V105" s="50"/>
    </row>
    <row r="106" spans="2:55" ht="14.1" customHeight="1">
      <c r="B106" s="23"/>
      <c r="C106" s="72">
        <f t="shared" si="0"/>
        <v>0.39841666666666675</v>
      </c>
      <c r="D106" s="65">
        <v>90</v>
      </c>
      <c r="E106" s="69">
        <v>19</v>
      </c>
      <c r="F106" s="69">
        <v>19</v>
      </c>
      <c r="G106" s="69">
        <v>19</v>
      </c>
      <c r="H106" s="69">
        <v>19</v>
      </c>
      <c r="I106" s="69">
        <v>19</v>
      </c>
      <c r="J106" s="69">
        <v>19</v>
      </c>
      <c r="K106" s="69">
        <v>19</v>
      </c>
      <c r="L106" s="69">
        <v>19</v>
      </c>
      <c r="M106" s="69">
        <v>19</v>
      </c>
      <c r="N106" s="69">
        <v>19</v>
      </c>
      <c r="O106" s="69">
        <v>19</v>
      </c>
      <c r="P106" s="69">
        <v>19</v>
      </c>
      <c r="Q106" s="69">
        <v>19</v>
      </c>
      <c r="R106" s="69">
        <v>19</v>
      </c>
      <c r="S106" s="69">
        <v>19</v>
      </c>
      <c r="T106" s="69">
        <v>19</v>
      </c>
      <c r="V106" s="50"/>
    </row>
    <row r="107" spans="2:55" ht="14.1" customHeight="1">
      <c r="B107" s="23"/>
      <c r="C107" s="72">
        <f t="shared" si="0"/>
        <v>0.40191666666666676</v>
      </c>
      <c r="D107" s="16">
        <v>95</v>
      </c>
      <c r="E107" s="68">
        <v>20</v>
      </c>
      <c r="F107" s="68">
        <v>20</v>
      </c>
      <c r="G107" s="68">
        <v>20</v>
      </c>
      <c r="H107" s="68">
        <v>20</v>
      </c>
      <c r="I107" s="68">
        <v>20</v>
      </c>
      <c r="J107" s="68">
        <v>20</v>
      </c>
      <c r="K107" s="68">
        <v>20</v>
      </c>
      <c r="L107" s="68">
        <v>20</v>
      </c>
      <c r="M107" s="68">
        <v>20</v>
      </c>
      <c r="N107" s="68">
        <v>20</v>
      </c>
      <c r="O107" s="68">
        <v>20</v>
      </c>
      <c r="P107" s="68">
        <v>20</v>
      </c>
      <c r="Q107" s="68">
        <v>20</v>
      </c>
      <c r="R107" s="68">
        <v>20</v>
      </c>
      <c r="S107" s="68">
        <v>20</v>
      </c>
      <c r="T107" s="68">
        <v>20</v>
      </c>
      <c r="V107" s="50"/>
    </row>
    <row r="108" spans="2:55" ht="14.1" customHeight="1">
      <c r="B108" s="23"/>
      <c r="C108" s="72">
        <f t="shared" si="0"/>
        <v>0.40541666666666676</v>
      </c>
      <c r="D108" s="16">
        <v>100</v>
      </c>
      <c r="E108" s="68">
        <v>21</v>
      </c>
      <c r="F108" s="68">
        <v>21</v>
      </c>
      <c r="G108" s="68">
        <v>21</v>
      </c>
      <c r="H108" s="68">
        <v>21</v>
      </c>
      <c r="I108" s="68">
        <v>21</v>
      </c>
      <c r="J108" s="68">
        <v>21</v>
      </c>
      <c r="K108" s="68">
        <v>21</v>
      </c>
      <c r="L108" s="68">
        <v>21</v>
      </c>
      <c r="M108" s="68">
        <v>21</v>
      </c>
      <c r="N108" s="68">
        <v>21</v>
      </c>
      <c r="O108" s="68">
        <v>21</v>
      </c>
      <c r="P108" s="68">
        <v>21</v>
      </c>
      <c r="Q108" s="68">
        <v>21</v>
      </c>
      <c r="R108" s="68">
        <v>21</v>
      </c>
      <c r="S108" s="68">
        <v>21</v>
      </c>
      <c r="T108" s="68">
        <v>21</v>
      </c>
      <c r="V108" s="50"/>
    </row>
    <row r="109" spans="2:55" ht="14.1" customHeight="1">
      <c r="B109" s="23"/>
      <c r="C109" s="72">
        <f t="shared" si="0"/>
        <v>0.40891666666666676</v>
      </c>
      <c r="D109" s="16">
        <v>105</v>
      </c>
      <c r="E109" s="68">
        <v>22</v>
      </c>
      <c r="F109" s="68">
        <v>22</v>
      </c>
      <c r="G109" s="68">
        <v>22</v>
      </c>
      <c r="H109" s="68">
        <v>22</v>
      </c>
      <c r="I109" s="68">
        <v>22</v>
      </c>
      <c r="J109" s="68">
        <v>22</v>
      </c>
      <c r="K109" s="68">
        <v>22</v>
      </c>
      <c r="L109" s="68">
        <v>22</v>
      </c>
      <c r="M109" s="68">
        <v>22</v>
      </c>
      <c r="N109" s="68">
        <v>22</v>
      </c>
      <c r="O109" s="68">
        <v>22</v>
      </c>
      <c r="P109" s="68">
        <v>22</v>
      </c>
      <c r="Q109" s="68">
        <v>22</v>
      </c>
      <c r="R109" s="68">
        <v>22</v>
      </c>
      <c r="S109" s="68">
        <v>22</v>
      </c>
      <c r="T109" s="68">
        <v>22</v>
      </c>
      <c r="V109" s="50"/>
    </row>
    <row r="110" spans="2:55" ht="14.1" customHeight="1">
      <c r="B110" s="23"/>
      <c r="C110" s="72">
        <f t="shared" si="0"/>
        <v>0.41241666666666676</v>
      </c>
      <c r="D110" s="16">
        <v>110</v>
      </c>
      <c r="E110" s="68">
        <v>23</v>
      </c>
      <c r="F110" s="68">
        <v>23</v>
      </c>
      <c r="G110" s="68">
        <v>23</v>
      </c>
      <c r="H110" s="68">
        <v>23</v>
      </c>
      <c r="I110" s="68">
        <v>23</v>
      </c>
      <c r="J110" s="68">
        <v>23</v>
      </c>
      <c r="K110" s="68">
        <v>23</v>
      </c>
      <c r="L110" s="68">
        <v>23</v>
      </c>
      <c r="M110" s="68">
        <v>23</v>
      </c>
      <c r="N110" s="68">
        <v>23</v>
      </c>
      <c r="O110" s="68">
        <v>23</v>
      </c>
      <c r="P110" s="68">
        <v>23</v>
      </c>
      <c r="Q110" s="68">
        <v>23</v>
      </c>
      <c r="R110" s="68">
        <v>23</v>
      </c>
      <c r="S110" s="68">
        <v>23</v>
      </c>
      <c r="T110" s="68">
        <v>23</v>
      </c>
      <c r="V110" s="50"/>
    </row>
    <row r="111" spans="2:55" ht="14.1" customHeight="1">
      <c r="B111" s="23"/>
      <c r="C111" s="72">
        <f t="shared" si="0"/>
        <v>0.41591666666666677</v>
      </c>
      <c r="D111" s="16">
        <v>115</v>
      </c>
      <c r="E111" s="68">
        <v>24</v>
      </c>
      <c r="F111" s="68">
        <v>24</v>
      </c>
      <c r="G111" s="68">
        <v>24</v>
      </c>
      <c r="H111" s="68">
        <v>24</v>
      </c>
      <c r="I111" s="68">
        <v>24</v>
      </c>
      <c r="J111" s="68">
        <v>24</v>
      </c>
      <c r="K111" s="68">
        <v>24</v>
      </c>
      <c r="L111" s="68">
        <v>24</v>
      </c>
      <c r="M111" s="68">
        <v>24</v>
      </c>
      <c r="N111" s="68">
        <v>24</v>
      </c>
      <c r="O111" s="68">
        <v>24</v>
      </c>
      <c r="P111" s="68">
        <v>24</v>
      </c>
      <c r="Q111" s="68">
        <v>24</v>
      </c>
      <c r="R111" s="68">
        <v>24</v>
      </c>
      <c r="S111" s="68">
        <v>24</v>
      </c>
      <c r="T111" s="68">
        <v>24</v>
      </c>
      <c r="V111" s="50"/>
    </row>
    <row r="112" spans="2:55" ht="14.1" customHeight="1">
      <c r="B112" s="23"/>
      <c r="C112" s="72">
        <f t="shared" si="0"/>
        <v>0.41941666666666677</v>
      </c>
      <c r="D112" s="65">
        <v>120</v>
      </c>
      <c r="E112" s="69">
        <v>25</v>
      </c>
      <c r="F112" s="69">
        <v>25</v>
      </c>
      <c r="G112" s="69">
        <v>25</v>
      </c>
      <c r="H112" s="69">
        <v>25</v>
      </c>
      <c r="I112" s="69">
        <v>25</v>
      </c>
      <c r="J112" s="69">
        <v>25</v>
      </c>
      <c r="K112" s="69">
        <v>25</v>
      </c>
      <c r="L112" s="69">
        <v>25</v>
      </c>
      <c r="M112" s="69">
        <v>25</v>
      </c>
      <c r="N112" s="69">
        <v>25</v>
      </c>
      <c r="O112" s="69">
        <v>25</v>
      </c>
      <c r="P112" s="69">
        <v>25</v>
      </c>
      <c r="Q112" s="69">
        <v>25</v>
      </c>
      <c r="R112" s="69">
        <v>25</v>
      </c>
      <c r="S112" s="69">
        <v>25</v>
      </c>
      <c r="T112" s="69">
        <v>25</v>
      </c>
      <c r="V112" s="50"/>
    </row>
    <row r="113" spans="2:45" ht="14.1" customHeight="1">
      <c r="B113" s="23"/>
      <c r="C113" s="72">
        <f>C112+0.0034</f>
        <v>0.42281666666666679</v>
      </c>
      <c r="D113" s="16">
        <v>125</v>
      </c>
      <c r="E113" s="68">
        <v>26</v>
      </c>
      <c r="F113" s="68">
        <v>26</v>
      </c>
      <c r="G113" s="68">
        <v>26</v>
      </c>
      <c r="H113" s="68">
        <v>26</v>
      </c>
      <c r="I113" s="68">
        <v>26</v>
      </c>
      <c r="J113" s="68">
        <v>26</v>
      </c>
      <c r="K113" s="68">
        <v>26</v>
      </c>
      <c r="L113" s="68">
        <v>26</v>
      </c>
      <c r="M113" s="68">
        <v>26</v>
      </c>
      <c r="N113" s="68">
        <v>26</v>
      </c>
      <c r="O113" s="68">
        <v>26</v>
      </c>
      <c r="P113" s="68">
        <v>26</v>
      </c>
      <c r="Q113" s="68">
        <v>26</v>
      </c>
      <c r="R113" s="68">
        <v>26</v>
      </c>
      <c r="S113" s="68">
        <v>26</v>
      </c>
      <c r="T113" s="68">
        <v>26</v>
      </c>
      <c r="V113" s="50"/>
    </row>
    <row r="114" spans="2:45" ht="14.1" customHeight="1">
      <c r="B114" s="23"/>
      <c r="C114" s="72">
        <f t="shared" si="0"/>
        <v>0.42631666666666679</v>
      </c>
      <c r="D114" s="16">
        <v>130</v>
      </c>
      <c r="E114" s="68">
        <v>27</v>
      </c>
      <c r="F114" s="68">
        <v>27</v>
      </c>
      <c r="G114" s="68">
        <v>27</v>
      </c>
      <c r="H114" s="68">
        <v>27</v>
      </c>
      <c r="I114" s="68">
        <v>27</v>
      </c>
      <c r="J114" s="68">
        <v>27</v>
      </c>
      <c r="K114" s="68">
        <v>27</v>
      </c>
      <c r="L114" s="68">
        <v>27</v>
      </c>
      <c r="M114" s="68">
        <v>27</v>
      </c>
      <c r="N114" s="68">
        <v>27</v>
      </c>
      <c r="O114" s="68">
        <v>27</v>
      </c>
      <c r="P114" s="68">
        <v>27</v>
      </c>
      <c r="Q114" s="68">
        <v>27</v>
      </c>
      <c r="R114" s="68">
        <v>27</v>
      </c>
      <c r="S114" s="68">
        <v>27</v>
      </c>
      <c r="T114" s="68">
        <v>27</v>
      </c>
      <c r="V114" s="50"/>
    </row>
    <row r="115" spans="2:45" ht="14.1" customHeight="1">
      <c r="B115" s="23"/>
      <c r="C115" s="72">
        <f t="shared" si="0"/>
        <v>0.42981666666666679</v>
      </c>
      <c r="D115" s="16">
        <v>135</v>
      </c>
      <c r="E115" s="68">
        <v>28</v>
      </c>
      <c r="F115" s="68">
        <v>28</v>
      </c>
      <c r="G115" s="68">
        <v>28</v>
      </c>
      <c r="H115" s="68">
        <v>28</v>
      </c>
      <c r="I115" s="68">
        <v>28</v>
      </c>
      <c r="J115" s="68">
        <v>28</v>
      </c>
      <c r="K115" s="68">
        <v>28</v>
      </c>
      <c r="L115" s="68">
        <v>28</v>
      </c>
      <c r="M115" s="68">
        <v>28</v>
      </c>
      <c r="N115" s="68">
        <v>28</v>
      </c>
      <c r="O115" s="68">
        <v>28</v>
      </c>
      <c r="P115" s="68">
        <v>28</v>
      </c>
      <c r="Q115" s="68">
        <v>28</v>
      </c>
      <c r="R115" s="68">
        <v>28</v>
      </c>
      <c r="S115" s="68">
        <v>28</v>
      </c>
      <c r="T115" s="68">
        <v>28</v>
      </c>
      <c r="V115" s="50"/>
    </row>
    <row r="116" spans="2:45" ht="14.1" customHeight="1">
      <c r="B116" s="23"/>
      <c r="C116" s="72">
        <f t="shared" si="0"/>
        <v>0.43331666666666679</v>
      </c>
      <c r="D116" s="16">
        <v>140</v>
      </c>
      <c r="E116" s="68">
        <v>29</v>
      </c>
      <c r="F116" s="68">
        <v>29</v>
      </c>
      <c r="G116" s="68">
        <v>29</v>
      </c>
      <c r="H116" s="68">
        <v>29</v>
      </c>
      <c r="I116" s="68">
        <v>29</v>
      </c>
      <c r="J116" s="68">
        <v>29</v>
      </c>
      <c r="K116" s="68">
        <v>29</v>
      </c>
      <c r="L116" s="68">
        <v>29</v>
      </c>
      <c r="M116" s="68">
        <v>29</v>
      </c>
      <c r="N116" s="68">
        <v>29</v>
      </c>
      <c r="O116" s="68">
        <v>29</v>
      </c>
      <c r="P116" s="68">
        <v>29</v>
      </c>
      <c r="Q116" s="68">
        <v>29</v>
      </c>
      <c r="R116" s="68">
        <v>29</v>
      </c>
      <c r="S116" s="68">
        <v>29</v>
      </c>
      <c r="T116" s="68">
        <v>29</v>
      </c>
      <c r="V116" s="50"/>
    </row>
    <row r="117" spans="2:45" ht="14.1" customHeight="1">
      <c r="B117" s="23"/>
      <c r="C117" s="72">
        <f>C116+0.0034</f>
        <v>0.43671666666666681</v>
      </c>
      <c r="D117" s="16">
        <v>145</v>
      </c>
      <c r="E117" s="68">
        <v>30</v>
      </c>
      <c r="F117" s="68">
        <v>30</v>
      </c>
      <c r="G117" s="68">
        <v>30</v>
      </c>
      <c r="H117" s="68">
        <v>30</v>
      </c>
      <c r="I117" s="68">
        <v>30</v>
      </c>
      <c r="J117" s="68">
        <v>30</v>
      </c>
      <c r="K117" s="68">
        <v>30</v>
      </c>
      <c r="L117" s="68">
        <v>30</v>
      </c>
      <c r="M117" s="68">
        <v>30</v>
      </c>
      <c r="N117" s="68">
        <v>30</v>
      </c>
      <c r="O117" s="68">
        <v>30</v>
      </c>
      <c r="P117" s="68">
        <v>30</v>
      </c>
      <c r="Q117" s="68">
        <v>30</v>
      </c>
      <c r="R117" s="68">
        <v>30</v>
      </c>
      <c r="S117" s="68">
        <v>30</v>
      </c>
      <c r="T117" s="68">
        <v>30</v>
      </c>
      <c r="V117" s="50"/>
      <c r="AQ117" s="70"/>
      <c r="AR117" s="70"/>
    </row>
    <row r="118" spans="2:45" ht="14.1" customHeight="1">
      <c r="B118" s="23"/>
      <c r="C118" s="72">
        <f t="shared" ref="C118:C181" si="1">C117+0.0034</f>
        <v>0.44011666666666682</v>
      </c>
      <c r="D118" s="65">
        <v>150</v>
      </c>
      <c r="E118" s="69">
        <v>31</v>
      </c>
      <c r="F118" s="69">
        <v>31</v>
      </c>
      <c r="G118" s="69">
        <v>31</v>
      </c>
      <c r="H118" s="69">
        <v>31</v>
      </c>
      <c r="I118" s="69">
        <v>31</v>
      </c>
      <c r="J118" s="69">
        <v>31</v>
      </c>
      <c r="K118" s="69">
        <v>31</v>
      </c>
      <c r="L118" s="69">
        <v>31</v>
      </c>
      <c r="M118" s="69">
        <v>31</v>
      </c>
      <c r="N118" s="69">
        <v>31</v>
      </c>
      <c r="O118" s="69">
        <v>31</v>
      </c>
      <c r="P118" s="69">
        <v>31</v>
      </c>
      <c r="Q118" s="69">
        <v>31</v>
      </c>
      <c r="R118" s="69">
        <v>31</v>
      </c>
      <c r="S118" s="69">
        <v>31</v>
      </c>
      <c r="T118" s="69">
        <v>31</v>
      </c>
      <c r="V118" s="50"/>
      <c r="AQ118" s="70"/>
      <c r="AR118" s="70"/>
    </row>
    <row r="119" spans="2:45" ht="14.1" customHeight="1">
      <c r="B119" s="23"/>
      <c r="C119" s="72">
        <f t="shared" si="1"/>
        <v>0.44351666666666684</v>
      </c>
      <c r="D119" s="16">
        <v>155</v>
      </c>
      <c r="E119" s="68">
        <v>32</v>
      </c>
      <c r="F119" s="68">
        <v>32</v>
      </c>
      <c r="G119" s="68">
        <v>32</v>
      </c>
      <c r="H119" s="68">
        <v>32</v>
      </c>
      <c r="I119" s="68">
        <v>32</v>
      </c>
      <c r="J119" s="68">
        <v>32</v>
      </c>
      <c r="K119" s="68">
        <v>32</v>
      </c>
      <c r="L119" s="68">
        <v>32</v>
      </c>
      <c r="M119" s="68">
        <v>32</v>
      </c>
      <c r="N119" s="68">
        <v>32</v>
      </c>
      <c r="O119" s="68">
        <v>32</v>
      </c>
      <c r="P119" s="68">
        <v>32</v>
      </c>
      <c r="Q119" s="68">
        <v>32</v>
      </c>
      <c r="R119" s="68">
        <v>32</v>
      </c>
      <c r="S119" s="68">
        <v>32</v>
      </c>
      <c r="T119" s="68">
        <v>32</v>
      </c>
      <c r="V119" s="50"/>
      <c r="AQ119" s="70"/>
      <c r="AR119" s="70"/>
    </row>
    <row r="120" spans="2:45" ht="14.1" customHeight="1">
      <c r="B120" s="23"/>
      <c r="C120" s="72">
        <f t="shared" si="1"/>
        <v>0.44691666666666685</v>
      </c>
      <c r="D120" s="16">
        <v>160</v>
      </c>
      <c r="E120" s="68">
        <v>33</v>
      </c>
      <c r="F120" s="68">
        <v>33</v>
      </c>
      <c r="G120" s="68">
        <v>33</v>
      </c>
      <c r="H120" s="68">
        <v>33</v>
      </c>
      <c r="I120" s="68">
        <v>33</v>
      </c>
      <c r="J120" s="68">
        <v>33</v>
      </c>
      <c r="K120" s="68">
        <v>33</v>
      </c>
      <c r="L120" s="68">
        <v>33</v>
      </c>
      <c r="M120" s="68">
        <v>33</v>
      </c>
      <c r="N120" s="68">
        <v>33</v>
      </c>
      <c r="O120" s="68">
        <v>33</v>
      </c>
      <c r="P120" s="68">
        <v>33</v>
      </c>
      <c r="Q120" s="68">
        <v>33</v>
      </c>
      <c r="R120" s="68">
        <v>33</v>
      </c>
      <c r="S120" s="68">
        <v>33</v>
      </c>
      <c r="T120" s="68">
        <v>33</v>
      </c>
      <c r="V120" s="50"/>
      <c r="AQ120" s="70"/>
      <c r="AR120" s="70"/>
    </row>
    <row r="121" spans="2:45" ht="14.1" customHeight="1">
      <c r="B121" s="23"/>
      <c r="C121" s="72">
        <f t="shared" si="1"/>
        <v>0.45031666666666686</v>
      </c>
      <c r="D121" s="16">
        <v>165</v>
      </c>
      <c r="E121" s="68">
        <v>34</v>
      </c>
      <c r="F121" s="68">
        <v>34</v>
      </c>
      <c r="G121" s="68">
        <v>34</v>
      </c>
      <c r="H121" s="68">
        <v>34</v>
      </c>
      <c r="I121" s="68">
        <v>34</v>
      </c>
      <c r="J121" s="68">
        <v>34</v>
      </c>
      <c r="K121" s="68">
        <v>34</v>
      </c>
      <c r="L121" s="68">
        <v>34</v>
      </c>
      <c r="M121" s="68">
        <v>34</v>
      </c>
      <c r="N121" s="68">
        <v>34</v>
      </c>
      <c r="O121" s="68">
        <v>34</v>
      </c>
      <c r="P121" s="68">
        <v>34</v>
      </c>
      <c r="Q121" s="68">
        <v>34</v>
      </c>
      <c r="R121" s="68">
        <v>34</v>
      </c>
      <c r="S121" s="68">
        <v>34</v>
      </c>
      <c r="T121" s="68">
        <v>34</v>
      </c>
      <c r="V121" s="50"/>
      <c r="AQ121" s="70"/>
      <c r="AR121" s="70"/>
    </row>
    <row r="122" spans="2:45" ht="14.1" customHeight="1">
      <c r="B122" s="23"/>
      <c r="C122" s="72">
        <f t="shared" si="1"/>
        <v>0.45371666666666688</v>
      </c>
      <c r="D122" s="16">
        <v>170</v>
      </c>
      <c r="E122" s="68">
        <v>35</v>
      </c>
      <c r="F122" s="68">
        <v>35</v>
      </c>
      <c r="G122" s="68">
        <v>35</v>
      </c>
      <c r="H122" s="68">
        <v>35</v>
      </c>
      <c r="I122" s="68">
        <v>35</v>
      </c>
      <c r="J122" s="68">
        <v>35</v>
      </c>
      <c r="K122" s="68">
        <v>35</v>
      </c>
      <c r="L122" s="68">
        <v>35</v>
      </c>
      <c r="M122" s="68">
        <v>35</v>
      </c>
      <c r="N122" s="68">
        <v>35</v>
      </c>
      <c r="O122" s="68">
        <v>35</v>
      </c>
      <c r="P122" s="68">
        <v>35</v>
      </c>
      <c r="Q122" s="68">
        <v>35</v>
      </c>
      <c r="R122" s="68">
        <v>35</v>
      </c>
      <c r="S122" s="68">
        <v>35</v>
      </c>
      <c r="T122" s="68">
        <v>35</v>
      </c>
      <c r="V122" s="50"/>
      <c r="AQ122" s="70"/>
      <c r="AR122" s="70"/>
      <c r="AS122" s="70"/>
    </row>
    <row r="123" spans="2:45" ht="14.1" customHeight="1">
      <c r="B123" s="23"/>
      <c r="C123" s="72">
        <f t="shared" si="1"/>
        <v>0.45711666666666689</v>
      </c>
      <c r="D123" s="16">
        <v>175</v>
      </c>
      <c r="E123" s="68">
        <v>36</v>
      </c>
      <c r="F123" s="68">
        <v>36</v>
      </c>
      <c r="G123" s="68">
        <v>36</v>
      </c>
      <c r="H123" s="68">
        <v>36</v>
      </c>
      <c r="I123" s="68">
        <v>36</v>
      </c>
      <c r="J123" s="68">
        <v>36</v>
      </c>
      <c r="K123" s="68">
        <v>36</v>
      </c>
      <c r="L123" s="68">
        <v>36</v>
      </c>
      <c r="M123" s="68">
        <v>36</v>
      </c>
      <c r="N123" s="68">
        <v>36</v>
      </c>
      <c r="O123" s="68">
        <v>36</v>
      </c>
      <c r="P123" s="68">
        <v>36</v>
      </c>
      <c r="Q123" s="68">
        <v>36</v>
      </c>
      <c r="R123" s="68">
        <v>36</v>
      </c>
      <c r="S123" s="68">
        <v>36</v>
      </c>
      <c r="T123" s="68">
        <v>36</v>
      </c>
      <c r="V123" s="50"/>
      <c r="AQ123" s="70"/>
      <c r="AR123" s="70"/>
      <c r="AS123" s="70"/>
    </row>
    <row r="124" spans="2:45" ht="14.1" customHeight="1">
      <c r="B124" s="23"/>
      <c r="C124" s="72">
        <f t="shared" si="1"/>
        <v>0.46051666666666691</v>
      </c>
      <c r="D124" s="65">
        <v>180</v>
      </c>
      <c r="E124" s="69">
        <v>37</v>
      </c>
      <c r="F124" s="69">
        <v>37</v>
      </c>
      <c r="G124" s="69">
        <v>37</v>
      </c>
      <c r="H124" s="69">
        <v>37</v>
      </c>
      <c r="I124" s="69">
        <v>37</v>
      </c>
      <c r="J124" s="69">
        <v>37</v>
      </c>
      <c r="K124" s="69">
        <v>37</v>
      </c>
      <c r="L124" s="69">
        <v>37</v>
      </c>
      <c r="M124" s="69">
        <v>37</v>
      </c>
      <c r="N124" s="69">
        <v>37</v>
      </c>
      <c r="O124" s="69">
        <v>37</v>
      </c>
      <c r="P124" s="69">
        <v>37</v>
      </c>
      <c r="Q124" s="69">
        <v>37</v>
      </c>
      <c r="R124" s="69">
        <v>37</v>
      </c>
      <c r="S124" s="69">
        <v>37</v>
      </c>
      <c r="T124" s="69">
        <v>37</v>
      </c>
      <c r="V124" s="50"/>
      <c r="AQ124" s="70"/>
      <c r="AR124" s="70"/>
      <c r="AS124" s="70"/>
    </row>
    <row r="125" spans="2:45" ht="14.1" customHeight="1">
      <c r="B125" s="23"/>
      <c r="C125" s="72">
        <f t="shared" si="1"/>
        <v>0.46391666666666692</v>
      </c>
      <c r="D125" s="16">
        <v>185</v>
      </c>
      <c r="E125" s="68">
        <v>38</v>
      </c>
      <c r="F125" s="68">
        <v>38</v>
      </c>
      <c r="G125" s="68">
        <v>38</v>
      </c>
      <c r="H125" s="68">
        <v>38</v>
      </c>
      <c r="I125" s="68">
        <v>38</v>
      </c>
      <c r="J125" s="68">
        <v>38</v>
      </c>
      <c r="K125" s="68">
        <v>38</v>
      </c>
      <c r="L125" s="68">
        <v>38</v>
      </c>
      <c r="M125" s="68">
        <v>38</v>
      </c>
      <c r="N125" s="68">
        <v>38</v>
      </c>
      <c r="O125" s="68">
        <v>38</v>
      </c>
      <c r="P125" s="68">
        <v>38</v>
      </c>
      <c r="Q125" s="68">
        <v>38</v>
      </c>
      <c r="R125" s="68">
        <v>38</v>
      </c>
      <c r="S125" s="68">
        <v>38</v>
      </c>
      <c r="T125" s="68">
        <v>38</v>
      </c>
      <c r="V125" s="50"/>
      <c r="AQ125" s="70"/>
      <c r="AR125" s="70"/>
      <c r="AS125" s="70"/>
    </row>
    <row r="126" spans="2:45" ht="14.1" customHeight="1">
      <c r="B126" s="23"/>
      <c r="C126" s="72">
        <f t="shared" si="1"/>
        <v>0.46731666666666694</v>
      </c>
      <c r="D126" s="16">
        <v>190</v>
      </c>
      <c r="E126" s="68">
        <v>39</v>
      </c>
      <c r="F126" s="68">
        <v>39</v>
      </c>
      <c r="G126" s="68">
        <v>39</v>
      </c>
      <c r="H126" s="68">
        <v>39</v>
      </c>
      <c r="I126" s="68">
        <v>39</v>
      </c>
      <c r="J126" s="68">
        <v>39</v>
      </c>
      <c r="K126" s="68">
        <v>39</v>
      </c>
      <c r="L126" s="68">
        <v>39</v>
      </c>
      <c r="M126" s="68">
        <v>39</v>
      </c>
      <c r="N126" s="68">
        <v>39</v>
      </c>
      <c r="O126" s="68">
        <v>39</v>
      </c>
      <c r="P126" s="68">
        <v>39</v>
      </c>
      <c r="Q126" s="68">
        <v>39</v>
      </c>
      <c r="R126" s="68">
        <v>39</v>
      </c>
      <c r="S126" s="68">
        <v>39</v>
      </c>
      <c r="T126" s="68">
        <v>39</v>
      </c>
      <c r="V126" s="50"/>
      <c r="AQ126" s="70"/>
      <c r="AR126" s="70"/>
      <c r="AS126" s="70"/>
    </row>
    <row r="127" spans="2:45" ht="14.1" customHeight="1">
      <c r="B127" s="23"/>
      <c r="C127" s="72">
        <f t="shared" si="1"/>
        <v>0.47071666666666695</v>
      </c>
      <c r="D127" s="16">
        <v>195</v>
      </c>
      <c r="E127" s="68">
        <v>40</v>
      </c>
      <c r="F127" s="68">
        <v>40</v>
      </c>
      <c r="G127" s="68">
        <v>40</v>
      </c>
      <c r="H127" s="68">
        <v>40</v>
      </c>
      <c r="I127" s="68">
        <v>40</v>
      </c>
      <c r="J127" s="68">
        <v>40</v>
      </c>
      <c r="K127" s="68">
        <v>40</v>
      </c>
      <c r="L127" s="68">
        <v>40</v>
      </c>
      <c r="M127" s="68">
        <v>40</v>
      </c>
      <c r="N127" s="68">
        <v>40</v>
      </c>
      <c r="O127" s="68">
        <v>40</v>
      </c>
      <c r="P127" s="68">
        <v>40</v>
      </c>
      <c r="Q127" s="68">
        <v>40</v>
      </c>
      <c r="R127" s="68">
        <v>40</v>
      </c>
      <c r="S127" s="68">
        <v>40</v>
      </c>
      <c r="T127" s="68">
        <v>40</v>
      </c>
      <c r="V127" s="50"/>
      <c r="AQ127" s="70"/>
      <c r="AR127" s="70"/>
      <c r="AS127" s="70"/>
    </row>
    <row r="128" spans="2:45" ht="14.1" customHeight="1">
      <c r="B128" s="23"/>
      <c r="C128" s="72">
        <f t="shared" si="1"/>
        <v>0.47411666666666696</v>
      </c>
      <c r="D128" s="16">
        <v>200</v>
      </c>
      <c r="E128" s="68">
        <v>41</v>
      </c>
      <c r="F128" s="68">
        <v>41</v>
      </c>
      <c r="G128" s="68">
        <v>41</v>
      </c>
      <c r="H128" s="68">
        <v>41</v>
      </c>
      <c r="I128" s="68">
        <v>41</v>
      </c>
      <c r="J128" s="68">
        <v>41</v>
      </c>
      <c r="K128" s="68">
        <v>41</v>
      </c>
      <c r="L128" s="68">
        <v>41</v>
      </c>
      <c r="M128" s="68">
        <v>41</v>
      </c>
      <c r="N128" s="68">
        <v>41</v>
      </c>
      <c r="O128" s="68">
        <v>41</v>
      </c>
      <c r="P128" s="68">
        <v>41</v>
      </c>
      <c r="Q128" s="68">
        <v>41</v>
      </c>
      <c r="R128" s="68">
        <v>41</v>
      </c>
      <c r="S128" s="68">
        <v>41</v>
      </c>
      <c r="T128" s="68">
        <v>41</v>
      </c>
      <c r="V128" s="50"/>
      <c r="AQ128" s="70"/>
      <c r="AR128" s="70"/>
      <c r="AS128" s="70"/>
    </row>
    <row r="129" spans="2:45" ht="14.1" customHeight="1">
      <c r="B129" s="23"/>
      <c r="C129" s="72">
        <f t="shared" si="1"/>
        <v>0.47751666666666698</v>
      </c>
      <c r="D129" s="16">
        <v>205</v>
      </c>
      <c r="E129" s="68">
        <v>42</v>
      </c>
      <c r="F129" s="68">
        <v>42</v>
      </c>
      <c r="G129" s="68">
        <v>42</v>
      </c>
      <c r="H129" s="68">
        <v>42</v>
      </c>
      <c r="I129" s="68">
        <v>42</v>
      </c>
      <c r="J129" s="68">
        <v>42</v>
      </c>
      <c r="K129" s="68">
        <v>42</v>
      </c>
      <c r="L129" s="68">
        <v>42</v>
      </c>
      <c r="M129" s="68">
        <v>42</v>
      </c>
      <c r="N129" s="68">
        <v>42</v>
      </c>
      <c r="O129" s="68">
        <v>42</v>
      </c>
      <c r="P129" s="68">
        <v>42</v>
      </c>
      <c r="Q129" s="68">
        <v>42</v>
      </c>
      <c r="R129" s="68">
        <v>42</v>
      </c>
      <c r="S129" s="68">
        <v>42</v>
      </c>
      <c r="T129" s="68">
        <v>42</v>
      </c>
      <c r="V129" s="50"/>
      <c r="AQ129" s="70"/>
      <c r="AR129" s="70"/>
      <c r="AS129" s="70"/>
    </row>
    <row r="130" spans="2:45" ht="14.1" customHeight="1">
      <c r="B130" s="23"/>
      <c r="C130" s="72">
        <f t="shared" si="1"/>
        <v>0.48091666666666699</v>
      </c>
      <c r="D130" s="65">
        <v>210</v>
      </c>
      <c r="E130" s="69">
        <v>43</v>
      </c>
      <c r="F130" s="69">
        <v>43</v>
      </c>
      <c r="G130" s="69">
        <v>43</v>
      </c>
      <c r="H130" s="69">
        <v>43</v>
      </c>
      <c r="I130" s="69">
        <v>43</v>
      </c>
      <c r="J130" s="69">
        <v>43</v>
      </c>
      <c r="K130" s="69">
        <v>43</v>
      </c>
      <c r="L130" s="69">
        <v>43</v>
      </c>
      <c r="M130" s="69">
        <v>43</v>
      </c>
      <c r="N130" s="69">
        <v>43</v>
      </c>
      <c r="O130" s="69">
        <v>43</v>
      </c>
      <c r="P130" s="69">
        <v>43</v>
      </c>
      <c r="Q130" s="69">
        <v>43</v>
      </c>
      <c r="R130" s="69">
        <v>43</v>
      </c>
      <c r="S130" s="69">
        <v>43</v>
      </c>
      <c r="T130" s="69">
        <v>43</v>
      </c>
      <c r="V130" s="50"/>
      <c r="AQ130" s="70"/>
      <c r="AR130" s="70"/>
      <c r="AS130" s="70"/>
    </row>
    <row r="131" spans="2:45" ht="14.1" customHeight="1">
      <c r="B131" s="23"/>
      <c r="C131" s="72">
        <f t="shared" si="1"/>
        <v>0.48431666666666701</v>
      </c>
      <c r="D131" s="16">
        <v>215</v>
      </c>
      <c r="E131" s="68">
        <v>44</v>
      </c>
      <c r="F131" s="68">
        <v>44</v>
      </c>
      <c r="G131" s="68">
        <v>44</v>
      </c>
      <c r="H131" s="68">
        <v>44</v>
      </c>
      <c r="I131" s="68">
        <v>44</v>
      </c>
      <c r="J131" s="68">
        <v>44</v>
      </c>
      <c r="K131" s="68">
        <v>44</v>
      </c>
      <c r="L131" s="68">
        <v>44</v>
      </c>
      <c r="M131" s="68">
        <v>44</v>
      </c>
      <c r="N131" s="68">
        <v>44</v>
      </c>
      <c r="O131" s="68">
        <v>44</v>
      </c>
      <c r="P131" s="68">
        <v>44</v>
      </c>
      <c r="Q131" s="68">
        <v>44</v>
      </c>
      <c r="R131" s="68">
        <v>44</v>
      </c>
      <c r="S131" s="68">
        <v>44</v>
      </c>
      <c r="T131" s="68">
        <v>44</v>
      </c>
      <c r="V131" s="50"/>
      <c r="AQ131" s="70"/>
      <c r="AR131" s="70"/>
      <c r="AS131" s="70"/>
    </row>
    <row r="132" spans="2:45" ht="14.1" customHeight="1">
      <c r="B132" s="23"/>
      <c r="C132" s="72">
        <f t="shared" si="1"/>
        <v>0.48771666666666702</v>
      </c>
      <c r="D132" s="16">
        <v>220</v>
      </c>
      <c r="E132" s="68">
        <v>45</v>
      </c>
      <c r="F132" s="68">
        <v>45</v>
      </c>
      <c r="G132" s="68">
        <v>45</v>
      </c>
      <c r="H132" s="68">
        <v>45</v>
      </c>
      <c r="I132" s="68">
        <v>45</v>
      </c>
      <c r="J132" s="68">
        <v>45</v>
      </c>
      <c r="K132" s="68">
        <v>45</v>
      </c>
      <c r="L132" s="68">
        <v>45</v>
      </c>
      <c r="M132" s="68">
        <v>45</v>
      </c>
      <c r="N132" s="68">
        <v>45</v>
      </c>
      <c r="O132" s="68">
        <v>45</v>
      </c>
      <c r="P132" s="68">
        <v>45</v>
      </c>
      <c r="Q132" s="68">
        <v>45</v>
      </c>
      <c r="R132" s="68">
        <v>45</v>
      </c>
      <c r="S132" s="68">
        <v>45</v>
      </c>
      <c r="T132" s="68">
        <v>45</v>
      </c>
      <c r="V132" s="50"/>
      <c r="AQ132" s="70"/>
      <c r="AR132" s="70"/>
      <c r="AS132" s="70"/>
    </row>
    <row r="133" spans="2:45" ht="14.1" customHeight="1">
      <c r="B133" s="23"/>
      <c r="C133" s="72">
        <f t="shared" si="1"/>
        <v>0.49111666666666703</v>
      </c>
      <c r="D133" s="16">
        <v>225</v>
      </c>
      <c r="E133" s="68">
        <v>46</v>
      </c>
      <c r="F133" s="68">
        <v>46</v>
      </c>
      <c r="G133" s="68">
        <v>46</v>
      </c>
      <c r="H133" s="68">
        <v>46</v>
      </c>
      <c r="I133" s="68">
        <v>46</v>
      </c>
      <c r="J133" s="68">
        <v>46</v>
      </c>
      <c r="K133" s="68">
        <v>46</v>
      </c>
      <c r="L133" s="68">
        <v>46</v>
      </c>
      <c r="M133" s="68">
        <v>46</v>
      </c>
      <c r="N133" s="68">
        <v>46</v>
      </c>
      <c r="O133" s="68">
        <v>46</v>
      </c>
      <c r="P133" s="68">
        <v>46</v>
      </c>
      <c r="Q133" s="68">
        <v>46</v>
      </c>
      <c r="R133" s="68">
        <v>46</v>
      </c>
      <c r="S133" s="68">
        <v>46</v>
      </c>
      <c r="T133" s="68">
        <v>46</v>
      </c>
      <c r="V133" s="50"/>
      <c r="AQ133" s="70"/>
      <c r="AR133" s="70"/>
      <c r="AS133" s="70"/>
    </row>
    <row r="134" spans="2:45" ht="14.1" customHeight="1">
      <c r="B134" s="23"/>
      <c r="C134" s="72">
        <f t="shared" si="1"/>
        <v>0.49451666666666705</v>
      </c>
      <c r="D134" s="16">
        <v>230</v>
      </c>
      <c r="E134" s="68">
        <v>47</v>
      </c>
      <c r="F134" s="68">
        <v>47</v>
      </c>
      <c r="G134" s="68">
        <v>47</v>
      </c>
      <c r="H134" s="68">
        <v>47</v>
      </c>
      <c r="I134" s="68">
        <v>47</v>
      </c>
      <c r="J134" s="68">
        <v>47</v>
      </c>
      <c r="K134" s="68">
        <v>47</v>
      </c>
      <c r="L134" s="68">
        <v>47</v>
      </c>
      <c r="M134" s="68">
        <v>47</v>
      </c>
      <c r="N134" s="68">
        <v>47</v>
      </c>
      <c r="O134" s="68">
        <v>47</v>
      </c>
      <c r="P134" s="68">
        <v>47</v>
      </c>
      <c r="Q134" s="68">
        <v>47</v>
      </c>
      <c r="R134" s="68">
        <v>47</v>
      </c>
      <c r="S134" s="68">
        <v>47</v>
      </c>
      <c r="T134" s="68">
        <v>47</v>
      </c>
      <c r="V134" s="50"/>
      <c r="AQ134" s="70"/>
      <c r="AR134" s="70"/>
      <c r="AS134" s="70"/>
    </row>
    <row r="135" spans="2:45" ht="14.1" customHeight="1">
      <c r="B135" s="23"/>
      <c r="C135" s="72">
        <f t="shared" si="1"/>
        <v>0.49791666666666706</v>
      </c>
      <c r="D135" s="16">
        <v>235</v>
      </c>
      <c r="E135" s="68">
        <v>48</v>
      </c>
      <c r="F135" s="68">
        <v>48</v>
      </c>
      <c r="G135" s="68">
        <v>48</v>
      </c>
      <c r="H135" s="68">
        <v>48</v>
      </c>
      <c r="I135" s="68">
        <v>48</v>
      </c>
      <c r="J135" s="68">
        <v>48</v>
      </c>
      <c r="K135" s="68">
        <v>48</v>
      </c>
      <c r="L135" s="68">
        <v>48</v>
      </c>
      <c r="M135" s="68">
        <v>48</v>
      </c>
      <c r="N135" s="68">
        <v>48</v>
      </c>
      <c r="O135" s="68">
        <v>48</v>
      </c>
      <c r="P135" s="68">
        <v>48</v>
      </c>
      <c r="Q135" s="68">
        <v>48</v>
      </c>
      <c r="R135" s="68">
        <v>48</v>
      </c>
      <c r="S135" s="68">
        <v>48</v>
      </c>
      <c r="T135" s="68">
        <v>48</v>
      </c>
      <c r="V135" s="50"/>
      <c r="AQ135" s="70"/>
      <c r="AR135" s="70"/>
      <c r="AS135" s="70"/>
    </row>
    <row r="136" spans="2:45" ht="14.1" customHeight="1">
      <c r="B136" s="23"/>
      <c r="C136" s="72">
        <f t="shared" si="1"/>
        <v>0.50131666666666708</v>
      </c>
      <c r="D136" s="65">
        <v>240</v>
      </c>
      <c r="E136" s="69">
        <v>49</v>
      </c>
      <c r="F136" s="69">
        <v>49</v>
      </c>
      <c r="G136" s="69">
        <v>49</v>
      </c>
      <c r="H136" s="69">
        <v>49</v>
      </c>
      <c r="I136" s="69">
        <v>49</v>
      </c>
      <c r="J136" s="69">
        <v>49</v>
      </c>
      <c r="K136" s="69">
        <v>49</v>
      </c>
      <c r="L136" s="69">
        <v>49</v>
      </c>
      <c r="M136" s="69">
        <v>49</v>
      </c>
      <c r="N136" s="69">
        <v>49</v>
      </c>
      <c r="O136" s="69">
        <v>49</v>
      </c>
      <c r="P136" s="69">
        <v>49</v>
      </c>
      <c r="Q136" s="69">
        <v>49</v>
      </c>
      <c r="R136" s="69">
        <v>49</v>
      </c>
      <c r="S136" s="69">
        <v>49</v>
      </c>
      <c r="T136" s="69">
        <v>49</v>
      </c>
      <c r="V136" s="50"/>
      <c r="AQ136" s="70"/>
      <c r="AR136" s="70"/>
      <c r="AS136" s="70"/>
    </row>
    <row r="137" spans="2:45" ht="14.1" customHeight="1">
      <c r="B137" s="23"/>
      <c r="C137" s="72">
        <f t="shared" si="1"/>
        <v>0.50471666666666704</v>
      </c>
      <c r="D137" s="16">
        <v>245</v>
      </c>
      <c r="E137" s="68">
        <v>50</v>
      </c>
      <c r="F137" s="68">
        <v>50</v>
      </c>
      <c r="G137" s="68">
        <v>50</v>
      </c>
      <c r="H137" s="68">
        <v>50</v>
      </c>
      <c r="I137" s="68">
        <v>50</v>
      </c>
      <c r="J137" s="68">
        <v>50</v>
      </c>
      <c r="K137" s="68">
        <v>50</v>
      </c>
      <c r="L137" s="68">
        <v>50</v>
      </c>
      <c r="M137" s="68">
        <v>50</v>
      </c>
      <c r="N137" s="68">
        <v>50</v>
      </c>
      <c r="O137" s="68">
        <v>50</v>
      </c>
      <c r="P137" s="68">
        <v>50</v>
      </c>
      <c r="Q137" s="68">
        <v>50</v>
      </c>
      <c r="R137" s="68">
        <v>50</v>
      </c>
      <c r="S137" s="68">
        <v>50</v>
      </c>
      <c r="T137" s="68">
        <v>50</v>
      </c>
      <c r="V137" s="50"/>
      <c r="AQ137" s="70"/>
      <c r="AR137" s="70"/>
      <c r="AS137" s="70"/>
    </row>
    <row r="138" spans="2:45" ht="14.1" customHeight="1">
      <c r="B138" s="23"/>
      <c r="C138" s="72">
        <f t="shared" si="1"/>
        <v>0.50811666666666699</v>
      </c>
      <c r="D138" s="16">
        <v>250</v>
      </c>
      <c r="E138" s="68">
        <v>51</v>
      </c>
      <c r="F138" s="68">
        <v>51</v>
      </c>
      <c r="G138" s="68">
        <v>51</v>
      </c>
      <c r="H138" s="68">
        <v>51</v>
      </c>
      <c r="I138" s="68">
        <v>51</v>
      </c>
      <c r="J138" s="68">
        <v>51</v>
      </c>
      <c r="K138" s="68">
        <v>51</v>
      </c>
      <c r="L138" s="68">
        <v>51</v>
      </c>
      <c r="M138" s="68">
        <v>51</v>
      </c>
      <c r="N138" s="68">
        <v>51</v>
      </c>
      <c r="O138" s="68">
        <v>51</v>
      </c>
      <c r="P138" s="68">
        <v>51</v>
      </c>
      <c r="Q138" s="68">
        <v>51</v>
      </c>
      <c r="R138" s="68">
        <v>51</v>
      </c>
      <c r="S138" s="68">
        <v>51</v>
      </c>
      <c r="T138" s="68">
        <v>51</v>
      </c>
      <c r="V138" s="50"/>
      <c r="AQ138" s="70"/>
      <c r="AR138" s="70"/>
      <c r="AS138" s="70"/>
    </row>
    <row r="139" spans="2:45" ht="14.1" customHeight="1">
      <c r="B139" s="23"/>
      <c r="C139" s="72">
        <f t="shared" si="1"/>
        <v>0.51151666666666695</v>
      </c>
      <c r="D139" s="16">
        <v>255</v>
      </c>
      <c r="E139" s="68">
        <v>52</v>
      </c>
      <c r="F139" s="68">
        <v>52</v>
      </c>
      <c r="G139" s="68">
        <v>52</v>
      </c>
      <c r="H139" s="68">
        <v>52</v>
      </c>
      <c r="I139" s="68">
        <v>52</v>
      </c>
      <c r="J139" s="68">
        <v>52</v>
      </c>
      <c r="K139" s="68">
        <v>52</v>
      </c>
      <c r="L139" s="68">
        <v>52</v>
      </c>
      <c r="M139" s="68">
        <v>52</v>
      </c>
      <c r="N139" s="68">
        <v>52</v>
      </c>
      <c r="O139" s="68">
        <v>52</v>
      </c>
      <c r="P139" s="68">
        <v>52</v>
      </c>
      <c r="Q139" s="68">
        <v>52</v>
      </c>
      <c r="R139" s="68">
        <v>52</v>
      </c>
      <c r="S139" s="68">
        <v>52</v>
      </c>
      <c r="T139" s="68">
        <v>52</v>
      </c>
      <c r="V139" s="50"/>
      <c r="AQ139" s="70"/>
      <c r="AR139" s="70"/>
      <c r="AS139" s="70"/>
    </row>
    <row r="140" spans="2:45" ht="14.1" customHeight="1">
      <c r="B140" s="23"/>
      <c r="C140" s="72">
        <f t="shared" si="1"/>
        <v>0.51491666666666691</v>
      </c>
      <c r="D140" s="16">
        <v>260</v>
      </c>
      <c r="E140" s="68">
        <v>53</v>
      </c>
      <c r="F140" s="68">
        <v>53</v>
      </c>
      <c r="G140" s="68">
        <v>53</v>
      </c>
      <c r="H140" s="68">
        <v>53</v>
      </c>
      <c r="I140" s="68">
        <v>53</v>
      </c>
      <c r="J140" s="68">
        <v>53</v>
      </c>
      <c r="K140" s="68">
        <v>53</v>
      </c>
      <c r="L140" s="68">
        <v>53</v>
      </c>
      <c r="M140" s="68">
        <v>53</v>
      </c>
      <c r="N140" s="68">
        <v>53</v>
      </c>
      <c r="O140" s="68">
        <v>53</v>
      </c>
      <c r="P140" s="68">
        <v>53</v>
      </c>
      <c r="Q140" s="68">
        <v>53</v>
      </c>
      <c r="R140" s="68">
        <v>53</v>
      </c>
      <c r="S140" s="68">
        <v>53</v>
      </c>
      <c r="T140" s="68">
        <v>53</v>
      </c>
      <c r="V140" s="50"/>
      <c r="AQ140" s="70"/>
      <c r="AR140" s="70"/>
      <c r="AS140" s="70"/>
    </row>
    <row r="141" spans="2:45" ht="14.1" customHeight="1">
      <c r="B141" s="23"/>
      <c r="C141" s="72">
        <f t="shared" si="1"/>
        <v>0.51831666666666687</v>
      </c>
      <c r="D141" s="16">
        <v>265</v>
      </c>
      <c r="E141" s="68">
        <v>54</v>
      </c>
      <c r="F141" s="68">
        <v>54</v>
      </c>
      <c r="G141" s="68">
        <v>54</v>
      </c>
      <c r="H141" s="68">
        <v>54</v>
      </c>
      <c r="I141" s="68">
        <v>54</v>
      </c>
      <c r="J141" s="68">
        <v>54</v>
      </c>
      <c r="K141" s="68">
        <v>54</v>
      </c>
      <c r="L141" s="68">
        <v>54</v>
      </c>
      <c r="M141" s="68">
        <v>54</v>
      </c>
      <c r="N141" s="68">
        <v>54</v>
      </c>
      <c r="O141" s="68">
        <v>54</v>
      </c>
      <c r="P141" s="68">
        <v>54</v>
      </c>
      <c r="Q141" s="68">
        <v>54</v>
      </c>
      <c r="R141" s="68">
        <v>54</v>
      </c>
      <c r="S141" s="68">
        <v>54</v>
      </c>
      <c r="T141" s="68">
        <v>54</v>
      </c>
      <c r="V141" s="50"/>
      <c r="AQ141" s="70"/>
      <c r="AR141" s="70"/>
      <c r="AS141" s="70"/>
    </row>
    <row r="142" spans="2:45" ht="14.1" customHeight="1">
      <c r="B142" s="23"/>
      <c r="C142" s="72">
        <f t="shared" si="1"/>
        <v>0.52171666666666683</v>
      </c>
      <c r="D142" s="65">
        <v>270</v>
      </c>
      <c r="E142" s="69">
        <v>55</v>
      </c>
      <c r="F142" s="69">
        <v>55</v>
      </c>
      <c r="G142" s="69">
        <v>55</v>
      </c>
      <c r="H142" s="69">
        <v>55</v>
      </c>
      <c r="I142" s="69">
        <v>55</v>
      </c>
      <c r="J142" s="69">
        <v>55</v>
      </c>
      <c r="K142" s="69">
        <v>55</v>
      </c>
      <c r="L142" s="69">
        <v>55</v>
      </c>
      <c r="M142" s="69">
        <v>55</v>
      </c>
      <c r="N142" s="69">
        <v>55</v>
      </c>
      <c r="O142" s="69">
        <v>55</v>
      </c>
      <c r="P142" s="69">
        <v>55</v>
      </c>
      <c r="Q142" s="69">
        <v>55</v>
      </c>
      <c r="R142" s="69">
        <v>55</v>
      </c>
      <c r="S142" s="69">
        <v>55</v>
      </c>
      <c r="T142" s="69">
        <v>55</v>
      </c>
      <c r="V142" s="50"/>
      <c r="AQ142" s="70"/>
      <c r="AR142" s="70"/>
      <c r="AS142" s="70"/>
    </row>
    <row r="143" spans="2:45" ht="14.1" customHeight="1">
      <c r="B143" s="23"/>
      <c r="C143" s="72">
        <f t="shared" si="1"/>
        <v>0.52511666666666679</v>
      </c>
      <c r="D143" s="16">
        <v>275</v>
      </c>
      <c r="E143" s="68">
        <v>56</v>
      </c>
      <c r="F143" s="68">
        <v>56</v>
      </c>
      <c r="G143" s="68">
        <v>56</v>
      </c>
      <c r="H143" s="68">
        <v>56</v>
      </c>
      <c r="I143" s="68">
        <v>56</v>
      </c>
      <c r="J143" s="68">
        <v>56</v>
      </c>
      <c r="K143" s="68">
        <v>56</v>
      </c>
      <c r="L143" s="68">
        <v>56</v>
      </c>
      <c r="M143" s="68">
        <v>56</v>
      </c>
      <c r="N143" s="68">
        <v>56</v>
      </c>
      <c r="O143" s="68">
        <v>56</v>
      </c>
      <c r="P143" s="68">
        <v>56</v>
      </c>
      <c r="Q143" s="68">
        <v>56</v>
      </c>
      <c r="R143" s="68">
        <v>56</v>
      </c>
      <c r="S143" s="68">
        <v>56</v>
      </c>
      <c r="T143" s="68">
        <v>56</v>
      </c>
      <c r="V143" s="50"/>
      <c r="AQ143" s="70"/>
      <c r="AR143" s="70"/>
      <c r="AS143" s="70"/>
    </row>
    <row r="144" spans="2:45" ht="14.1" customHeight="1">
      <c r="B144" s="23"/>
      <c r="C144" s="72">
        <f t="shared" si="1"/>
        <v>0.52851666666666675</v>
      </c>
      <c r="D144" s="16">
        <v>280</v>
      </c>
      <c r="E144" s="68">
        <v>57</v>
      </c>
      <c r="F144" s="68">
        <v>57</v>
      </c>
      <c r="G144" s="68">
        <v>57</v>
      </c>
      <c r="H144" s="68">
        <v>57</v>
      </c>
      <c r="I144" s="68">
        <v>57</v>
      </c>
      <c r="J144" s="68">
        <v>57</v>
      </c>
      <c r="K144" s="68">
        <v>57</v>
      </c>
      <c r="L144" s="68">
        <v>57</v>
      </c>
      <c r="M144" s="68">
        <v>57</v>
      </c>
      <c r="N144" s="68">
        <v>57</v>
      </c>
      <c r="O144" s="68">
        <v>57</v>
      </c>
      <c r="P144" s="68">
        <v>57</v>
      </c>
      <c r="Q144" s="68">
        <v>57</v>
      </c>
      <c r="R144" s="68">
        <v>57</v>
      </c>
      <c r="S144" s="68">
        <v>57</v>
      </c>
      <c r="T144" s="68">
        <v>57</v>
      </c>
      <c r="V144" s="50"/>
      <c r="AQ144" s="70"/>
      <c r="AR144" s="70"/>
      <c r="AS144" s="70"/>
    </row>
    <row r="145" spans="2:45" ht="14.1" customHeight="1">
      <c r="B145" s="23"/>
      <c r="C145" s="72">
        <f t="shared" si="1"/>
        <v>0.5319166666666667</v>
      </c>
      <c r="D145" s="16">
        <v>285</v>
      </c>
      <c r="E145" s="68">
        <v>58</v>
      </c>
      <c r="F145" s="68">
        <v>58</v>
      </c>
      <c r="G145" s="68">
        <v>58</v>
      </c>
      <c r="H145" s="68">
        <v>58</v>
      </c>
      <c r="I145" s="68">
        <v>58</v>
      </c>
      <c r="J145" s="68">
        <v>58</v>
      </c>
      <c r="K145" s="68">
        <v>58</v>
      </c>
      <c r="L145" s="68">
        <v>58</v>
      </c>
      <c r="M145" s="68">
        <v>58</v>
      </c>
      <c r="N145" s="68">
        <v>58</v>
      </c>
      <c r="O145" s="68">
        <v>58</v>
      </c>
      <c r="P145" s="68">
        <v>58</v>
      </c>
      <c r="Q145" s="68">
        <v>58</v>
      </c>
      <c r="R145" s="68">
        <v>58</v>
      </c>
      <c r="S145" s="68">
        <v>58</v>
      </c>
      <c r="T145" s="68">
        <v>58</v>
      </c>
      <c r="V145" s="50"/>
      <c r="AQ145" s="70"/>
      <c r="AR145" s="70"/>
      <c r="AS145" s="70"/>
    </row>
    <row r="146" spans="2:45" ht="14.1" customHeight="1">
      <c r="B146" s="23"/>
      <c r="C146" s="72">
        <f t="shared" si="1"/>
        <v>0.53531666666666666</v>
      </c>
      <c r="D146" s="16">
        <v>290</v>
      </c>
      <c r="E146" s="68">
        <v>59</v>
      </c>
      <c r="F146" s="68">
        <v>59</v>
      </c>
      <c r="G146" s="68">
        <v>59</v>
      </c>
      <c r="H146" s="68">
        <v>59</v>
      </c>
      <c r="I146" s="68">
        <v>59</v>
      </c>
      <c r="J146" s="68">
        <v>59</v>
      </c>
      <c r="K146" s="68">
        <v>59</v>
      </c>
      <c r="L146" s="68">
        <v>59</v>
      </c>
      <c r="M146" s="68">
        <v>59</v>
      </c>
      <c r="N146" s="68">
        <v>59</v>
      </c>
      <c r="O146" s="68">
        <v>59</v>
      </c>
      <c r="P146" s="68">
        <v>59</v>
      </c>
      <c r="Q146" s="68">
        <v>59</v>
      </c>
      <c r="R146" s="68">
        <v>59</v>
      </c>
      <c r="S146" s="68">
        <v>59</v>
      </c>
      <c r="T146" s="68">
        <v>59</v>
      </c>
      <c r="V146" s="50"/>
      <c r="AQ146" s="70"/>
      <c r="AR146" s="70"/>
      <c r="AS146" s="70"/>
    </row>
    <row r="147" spans="2:45" ht="14.1" customHeight="1">
      <c r="B147" s="23"/>
      <c r="C147" s="72">
        <f t="shared" si="1"/>
        <v>0.53871666666666662</v>
      </c>
      <c r="D147" s="16">
        <v>295</v>
      </c>
      <c r="E147" s="68">
        <v>60</v>
      </c>
      <c r="F147" s="68">
        <v>60</v>
      </c>
      <c r="G147" s="68">
        <v>60</v>
      </c>
      <c r="H147" s="68">
        <v>60</v>
      </c>
      <c r="I147" s="68">
        <v>60</v>
      </c>
      <c r="J147" s="68">
        <v>60</v>
      </c>
      <c r="K147" s="68">
        <v>60</v>
      </c>
      <c r="L147" s="68">
        <v>60</v>
      </c>
      <c r="M147" s="68">
        <v>60</v>
      </c>
      <c r="N147" s="68">
        <v>60</v>
      </c>
      <c r="O147" s="68">
        <v>60</v>
      </c>
      <c r="P147" s="68">
        <v>60</v>
      </c>
      <c r="Q147" s="68">
        <v>60</v>
      </c>
      <c r="R147" s="68">
        <v>60</v>
      </c>
      <c r="S147" s="68">
        <v>60</v>
      </c>
      <c r="T147" s="68">
        <v>60</v>
      </c>
      <c r="V147" s="50"/>
      <c r="AQ147" s="70"/>
      <c r="AR147" s="70"/>
      <c r="AS147" s="70"/>
    </row>
    <row r="148" spans="2:45" ht="14.1" customHeight="1">
      <c r="B148" s="23"/>
      <c r="C148" s="72">
        <f t="shared" si="1"/>
        <v>0.54211666666666658</v>
      </c>
      <c r="D148" s="65">
        <v>300</v>
      </c>
      <c r="E148" s="69">
        <v>61</v>
      </c>
      <c r="F148" s="69">
        <v>61</v>
      </c>
      <c r="G148" s="69">
        <v>61</v>
      </c>
      <c r="H148" s="69">
        <v>61</v>
      </c>
      <c r="I148" s="69">
        <v>61</v>
      </c>
      <c r="J148" s="69">
        <v>61</v>
      </c>
      <c r="K148" s="69">
        <v>61</v>
      </c>
      <c r="L148" s="69">
        <v>61</v>
      </c>
      <c r="M148" s="69">
        <v>61</v>
      </c>
      <c r="N148" s="69">
        <v>61</v>
      </c>
      <c r="O148" s="69">
        <v>61</v>
      </c>
      <c r="P148" s="69">
        <v>61</v>
      </c>
      <c r="Q148" s="69">
        <v>61</v>
      </c>
      <c r="R148" s="69">
        <v>61</v>
      </c>
      <c r="S148" s="69">
        <v>61</v>
      </c>
      <c r="T148" s="69">
        <v>61</v>
      </c>
      <c r="V148" s="50"/>
      <c r="AQ148" s="70"/>
      <c r="AR148" s="70"/>
      <c r="AS148" s="70"/>
    </row>
    <row r="149" spans="2:45" ht="14.1" customHeight="1">
      <c r="B149" s="23"/>
      <c r="C149" s="72">
        <f t="shared" si="1"/>
        <v>0.54551666666666654</v>
      </c>
      <c r="D149" s="16">
        <v>305</v>
      </c>
      <c r="E149" s="68">
        <v>62</v>
      </c>
      <c r="F149" s="68">
        <v>62</v>
      </c>
      <c r="G149" s="68">
        <v>62</v>
      </c>
      <c r="H149" s="68">
        <v>62</v>
      </c>
      <c r="I149" s="68">
        <v>62</v>
      </c>
      <c r="J149" s="68">
        <v>62</v>
      </c>
      <c r="K149" s="68">
        <v>62</v>
      </c>
      <c r="L149" s="68">
        <v>62</v>
      </c>
      <c r="M149" s="68">
        <v>62</v>
      </c>
      <c r="N149" s="68">
        <v>62</v>
      </c>
      <c r="O149" s="68">
        <v>62</v>
      </c>
      <c r="P149" s="68">
        <v>62</v>
      </c>
      <c r="Q149" s="68">
        <v>62</v>
      </c>
      <c r="R149" s="68">
        <v>62</v>
      </c>
      <c r="S149" s="68">
        <v>62</v>
      </c>
      <c r="T149" s="68">
        <v>62</v>
      </c>
      <c r="V149" s="50"/>
      <c r="AQ149" s="70"/>
      <c r="AR149" s="70"/>
      <c r="AS149" s="70"/>
    </row>
    <row r="150" spans="2:45" ht="14.1" customHeight="1">
      <c r="B150" s="23"/>
      <c r="C150" s="72">
        <f t="shared" si="1"/>
        <v>0.5489166666666665</v>
      </c>
      <c r="D150" s="16">
        <v>310</v>
      </c>
      <c r="E150" s="68">
        <v>63</v>
      </c>
      <c r="F150" s="68">
        <v>63</v>
      </c>
      <c r="G150" s="68">
        <v>63</v>
      </c>
      <c r="H150" s="68">
        <v>63</v>
      </c>
      <c r="I150" s="68">
        <v>63</v>
      </c>
      <c r="J150" s="68">
        <v>63</v>
      </c>
      <c r="K150" s="68">
        <v>63</v>
      </c>
      <c r="L150" s="68">
        <v>63</v>
      </c>
      <c r="M150" s="68">
        <v>63</v>
      </c>
      <c r="N150" s="68">
        <v>63</v>
      </c>
      <c r="O150" s="68">
        <v>63</v>
      </c>
      <c r="P150" s="68">
        <v>63</v>
      </c>
      <c r="Q150" s="68">
        <v>63</v>
      </c>
      <c r="R150" s="68">
        <v>63</v>
      </c>
      <c r="S150" s="68">
        <v>63</v>
      </c>
      <c r="T150" s="68">
        <v>63</v>
      </c>
      <c r="V150" s="50"/>
      <c r="AQ150" s="70"/>
      <c r="AR150" s="70"/>
      <c r="AS150" s="70"/>
    </row>
    <row r="151" spans="2:45" ht="14.1" customHeight="1">
      <c r="B151" s="23"/>
      <c r="C151" s="72">
        <f t="shared" si="1"/>
        <v>0.55231666666666646</v>
      </c>
      <c r="D151" s="16">
        <v>315</v>
      </c>
      <c r="E151" s="68">
        <v>64</v>
      </c>
      <c r="F151" s="68">
        <v>64</v>
      </c>
      <c r="G151" s="68">
        <v>64</v>
      </c>
      <c r="H151" s="68">
        <v>64</v>
      </c>
      <c r="I151" s="68">
        <v>64</v>
      </c>
      <c r="J151" s="68">
        <v>64</v>
      </c>
      <c r="K151" s="68">
        <v>64</v>
      </c>
      <c r="L151" s="68">
        <v>64</v>
      </c>
      <c r="M151" s="68">
        <v>64</v>
      </c>
      <c r="N151" s="68">
        <v>64</v>
      </c>
      <c r="O151" s="68">
        <v>64</v>
      </c>
      <c r="P151" s="68">
        <v>64</v>
      </c>
      <c r="Q151" s="68">
        <v>64</v>
      </c>
      <c r="R151" s="68">
        <v>64</v>
      </c>
      <c r="S151" s="68">
        <v>64</v>
      </c>
      <c r="T151" s="68">
        <v>64</v>
      </c>
      <c r="V151" s="50"/>
      <c r="AQ151" s="70"/>
      <c r="AR151" s="70"/>
      <c r="AS151" s="70"/>
    </row>
    <row r="152" spans="2:45" ht="14.1" customHeight="1">
      <c r="B152" s="23"/>
      <c r="C152" s="72">
        <f t="shared" si="1"/>
        <v>0.55571666666666641</v>
      </c>
      <c r="D152" s="16">
        <v>320</v>
      </c>
      <c r="E152" s="68">
        <v>65</v>
      </c>
      <c r="F152" s="68">
        <v>65</v>
      </c>
      <c r="G152" s="68">
        <v>65</v>
      </c>
      <c r="H152" s="68">
        <v>65</v>
      </c>
      <c r="I152" s="68">
        <v>65</v>
      </c>
      <c r="J152" s="68">
        <v>65</v>
      </c>
      <c r="K152" s="68">
        <v>65</v>
      </c>
      <c r="L152" s="68">
        <v>65</v>
      </c>
      <c r="M152" s="68">
        <v>65</v>
      </c>
      <c r="N152" s="68">
        <v>65</v>
      </c>
      <c r="O152" s="68">
        <v>65</v>
      </c>
      <c r="P152" s="68">
        <v>65</v>
      </c>
      <c r="Q152" s="68">
        <v>65</v>
      </c>
      <c r="R152" s="68">
        <v>65</v>
      </c>
      <c r="S152" s="68">
        <v>65</v>
      </c>
      <c r="T152" s="68">
        <v>65</v>
      </c>
      <c r="V152" s="50"/>
      <c r="AQ152" s="70"/>
      <c r="AR152" s="70"/>
      <c r="AS152" s="70"/>
    </row>
    <row r="153" spans="2:45" ht="14.1" customHeight="1">
      <c r="B153" s="23"/>
      <c r="C153" s="72">
        <f t="shared" si="1"/>
        <v>0.55911666666666637</v>
      </c>
      <c r="D153" s="16">
        <v>325</v>
      </c>
      <c r="E153" s="68">
        <v>66</v>
      </c>
      <c r="F153" s="68">
        <v>66</v>
      </c>
      <c r="G153" s="68">
        <v>66</v>
      </c>
      <c r="H153" s="68">
        <v>66</v>
      </c>
      <c r="I153" s="68">
        <v>66</v>
      </c>
      <c r="J153" s="68">
        <v>66</v>
      </c>
      <c r="K153" s="68">
        <v>66</v>
      </c>
      <c r="L153" s="68">
        <v>66</v>
      </c>
      <c r="M153" s="68">
        <v>66</v>
      </c>
      <c r="N153" s="68">
        <v>66</v>
      </c>
      <c r="O153" s="68">
        <v>66</v>
      </c>
      <c r="P153" s="68">
        <v>66</v>
      </c>
      <c r="Q153" s="68">
        <v>66</v>
      </c>
      <c r="R153" s="68">
        <v>66</v>
      </c>
      <c r="S153" s="68">
        <v>66</v>
      </c>
      <c r="T153" s="68">
        <v>66</v>
      </c>
      <c r="V153" s="50"/>
      <c r="AQ153" s="70"/>
      <c r="AR153" s="70"/>
      <c r="AS153" s="70"/>
    </row>
    <row r="154" spans="2:45" ht="14.1" customHeight="1">
      <c r="B154" s="23"/>
      <c r="C154" s="72">
        <f t="shared" si="1"/>
        <v>0.56251666666666633</v>
      </c>
      <c r="D154" s="65">
        <v>330</v>
      </c>
      <c r="E154" s="69">
        <v>67</v>
      </c>
      <c r="F154" s="69">
        <v>67</v>
      </c>
      <c r="G154" s="69">
        <v>67</v>
      </c>
      <c r="H154" s="69">
        <v>67</v>
      </c>
      <c r="I154" s="69">
        <v>67</v>
      </c>
      <c r="J154" s="69">
        <v>67</v>
      </c>
      <c r="K154" s="69">
        <v>67</v>
      </c>
      <c r="L154" s="69">
        <v>67</v>
      </c>
      <c r="M154" s="69">
        <v>67</v>
      </c>
      <c r="N154" s="69">
        <v>67</v>
      </c>
      <c r="O154" s="69">
        <v>67</v>
      </c>
      <c r="P154" s="69">
        <v>67</v>
      </c>
      <c r="Q154" s="69">
        <v>67</v>
      </c>
      <c r="R154" s="69">
        <v>67</v>
      </c>
      <c r="S154" s="69">
        <v>67</v>
      </c>
      <c r="T154" s="69">
        <v>67</v>
      </c>
      <c r="V154" s="50"/>
      <c r="AQ154" s="70"/>
      <c r="AR154" s="70"/>
      <c r="AS154" s="70"/>
    </row>
    <row r="155" spans="2:45" ht="14.1" customHeight="1">
      <c r="B155" s="23"/>
      <c r="C155" s="72">
        <f t="shared" si="1"/>
        <v>0.56591666666666629</v>
      </c>
      <c r="D155" s="16">
        <v>335</v>
      </c>
      <c r="E155" s="68">
        <v>68</v>
      </c>
      <c r="F155" s="68">
        <v>68</v>
      </c>
      <c r="G155" s="68">
        <v>68</v>
      </c>
      <c r="H155" s="68">
        <v>68</v>
      </c>
      <c r="I155" s="68">
        <v>68</v>
      </c>
      <c r="J155" s="68">
        <v>68</v>
      </c>
      <c r="K155" s="68">
        <v>68</v>
      </c>
      <c r="L155" s="68">
        <v>68</v>
      </c>
      <c r="M155" s="68">
        <v>68</v>
      </c>
      <c r="N155" s="68">
        <v>68</v>
      </c>
      <c r="O155" s="68">
        <v>68</v>
      </c>
      <c r="P155" s="68">
        <v>68</v>
      </c>
      <c r="Q155" s="68">
        <v>68</v>
      </c>
      <c r="R155" s="68">
        <v>68</v>
      </c>
      <c r="S155" s="68">
        <v>68</v>
      </c>
      <c r="T155" s="68">
        <v>68</v>
      </c>
      <c r="V155" s="50"/>
      <c r="AQ155" s="70"/>
      <c r="AR155" s="70"/>
      <c r="AS155" s="70"/>
    </row>
    <row r="156" spans="2:45" ht="14.1" customHeight="1">
      <c r="B156" s="23"/>
      <c r="C156" s="72">
        <f t="shared" si="1"/>
        <v>0.56931666666666625</v>
      </c>
      <c r="D156" s="16">
        <v>340</v>
      </c>
      <c r="E156" s="68">
        <v>69</v>
      </c>
      <c r="F156" s="68">
        <v>69</v>
      </c>
      <c r="G156" s="68">
        <v>69</v>
      </c>
      <c r="H156" s="68">
        <v>69</v>
      </c>
      <c r="I156" s="68">
        <v>69</v>
      </c>
      <c r="J156" s="68">
        <v>69</v>
      </c>
      <c r="K156" s="68">
        <v>69</v>
      </c>
      <c r="L156" s="68">
        <v>69</v>
      </c>
      <c r="M156" s="68">
        <v>69</v>
      </c>
      <c r="N156" s="68">
        <v>69</v>
      </c>
      <c r="O156" s="68">
        <v>69</v>
      </c>
      <c r="P156" s="68">
        <v>69</v>
      </c>
      <c r="Q156" s="68">
        <v>69</v>
      </c>
      <c r="R156" s="68">
        <v>69</v>
      </c>
      <c r="S156" s="68">
        <v>69</v>
      </c>
      <c r="T156" s="68">
        <v>69</v>
      </c>
      <c r="V156" s="50"/>
      <c r="AQ156" s="70"/>
      <c r="AR156" s="70"/>
      <c r="AS156" s="70"/>
    </row>
    <row r="157" spans="2:45" ht="14.1" customHeight="1">
      <c r="B157" s="23"/>
      <c r="C157" s="72">
        <f t="shared" si="1"/>
        <v>0.57271666666666621</v>
      </c>
      <c r="D157" s="16">
        <v>345</v>
      </c>
      <c r="E157" s="68">
        <v>70</v>
      </c>
      <c r="F157" s="68">
        <v>70</v>
      </c>
      <c r="G157" s="68">
        <v>70</v>
      </c>
      <c r="H157" s="68">
        <v>70</v>
      </c>
      <c r="I157" s="68">
        <v>70</v>
      </c>
      <c r="J157" s="68">
        <v>70</v>
      </c>
      <c r="K157" s="68">
        <v>70</v>
      </c>
      <c r="L157" s="68">
        <v>70</v>
      </c>
      <c r="M157" s="68">
        <v>70</v>
      </c>
      <c r="N157" s="68">
        <v>70</v>
      </c>
      <c r="O157" s="68">
        <v>70</v>
      </c>
      <c r="P157" s="68">
        <v>70</v>
      </c>
      <c r="Q157" s="68">
        <v>70</v>
      </c>
      <c r="R157" s="68">
        <v>70</v>
      </c>
      <c r="S157" s="68">
        <v>70</v>
      </c>
      <c r="T157" s="68">
        <v>70</v>
      </c>
      <c r="V157" s="50"/>
      <c r="AQ157" s="70"/>
      <c r="AR157" s="70"/>
      <c r="AS157" s="70"/>
    </row>
    <row r="158" spans="2:45" ht="14.1" customHeight="1">
      <c r="B158" s="23"/>
      <c r="C158" s="72">
        <f t="shared" si="1"/>
        <v>0.57611666666666617</v>
      </c>
      <c r="D158" s="16">
        <v>350</v>
      </c>
      <c r="E158" s="68">
        <v>71</v>
      </c>
      <c r="F158" s="68">
        <v>71</v>
      </c>
      <c r="G158" s="68">
        <v>71</v>
      </c>
      <c r="H158" s="68">
        <v>71</v>
      </c>
      <c r="I158" s="68">
        <v>71</v>
      </c>
      <c r="J158" s="68">
        <v>71</v>
      </c>
      <c r="K158" s="68">
        <v>71</v>
      </c>
      <c r="L158" s="68">
        <v>71</v>
      </c>
      <c r="M158" s="68">
        <v>71</v>
      </c>
      <c r="N158" s="68">
        <v>71</v>
      </c>
      <c r="O158" s="68">
        <v>71</v>
      </c>
      <c r="P158" s="68">
        <v>71</v>
      </c>
      <c r="Q158" s="68">
        <v>71</v>
      </c>
      <c r="R158" s="68">
        <v>71</v>
      </c>
      <c r="S158" s="68">
        <v>71</v>
      </c>
      <c r="T158" s="68">
        <v>71</v>
      </c>
      <c r="V158" s="50"/>
      <c r="AQ158" s="70"/>
      <c r="AR158" s="70"/>
      <c r="AS158" s="70"/>
    </row>
    <row r="159" spans="2:45" ht="14.1" customHeight="1">
      <c r="B159" s="23"/>
      <c r="C159" s="72">
        <f t="shared" si="1"/>
        <v>0.57951666666666612</v>
      </c>
      <c r="D159" s="16">
        <v>355</v>
      </c>
      <c r="E159" s="68">
        <v>72</v>
      </c>
      <c r="F159" s="68">
        <v>72</v>
      </c>
      <c r="G159" s="68">
        <v>72</v>
      </c>
      <c r="H159" s="68">
        <v>72</v>
      </c>
      <c r="I159" s="68">
        <v>72</v>
      </c>
      <c r="J159" s="68">
        <v>72</v>
      </c>
      <c r="K159" s="68">
        <v>72</v>
      </c>
      <c r="L159" s="68">
        <v>72</v>
      </c>
      <c r="M159" s="68">
        <v>72</v>
      </c>
      <c r="N159" s="68">
        <v>72</v>
      </c>
      <c r="O159" s="68">
        <v>72</v>
      </c>
      <c r="P159" s="68">
        <v>72</v>
      </c>
      <c r="Q159" s="68">
        <v>72</v>
      </c>
      <c r="R159" s="68">
        <v>72</v>
      </c>
      <c r="S159" s="68">
        <v>72</v>
      </c>
      <c r="T159" s="68">
        <v>72</v>
      </c>
      <c r="V159" s="50"/>
      <c r="AQ159" s="70"/>
      <c r="AR159" s="70"/>
      <c r="AS159" s="70"/>
    </row>
    <row r="160" spans="2:45" ht="14.1" customHeight="1">
      <c r="B160" s="23"/>
      <c r="C160" s="72">
        <f t="shared" si="1"/>
        <v>0.58291666666666608</v>
      </c>
      <c r="D160" s="65">
        <v>360</v>
      </c>
      <c r="E160" s="69">
        <v>73</v>
      </c>
      <c r="F160" s="69">
        <v>73</v>
      </c>
      <c r="G160" s="69">
        <v>73</v>
      </c>
      <c r="H160" s="69">
        <v>73</v>
      </c>
      <c r="I160" s="69">
        <v>73</v>
      </c>
      <c r="J160" s="69">
        <v>73</v>
      </c>
      <c r="K160" s="69">
        <v>73</v>
      </c>
      <c r="L160" s="69">
        <v>73</v>
      </c>
      <c r="M160" s="69">
        <v>73</v>
      </c>
      <c r="N160" s="69">
        <v>73</v>
      </c>
      <c r="O160" s="69">
        <v>73</v>
      </c>
      <c r="P160" s="69">
        <v>73</v>
      </c>
      <c r="Q160" s="69">
        <v>73</v>
      </c>
      <c r="R160" s="69">
        <v>73</v>
      </c>
      <c r="S160" s="69">
        <v>73</v>
      </c>
      <c r="T160" s="69">
        <v>73</v>
      </c>
      <c r="V160" s="50"/>
      <c r="AQ160" s="70"/>
      <c r="AR160" s="70"/>
      <c r="AS160" s="70"/>
    </row>
    <row r="161" spans="2:45" ht="14.1" customHeight="1">
      <c r="B161" s="23"/>
      <c r="C161" s="72">
        <f t="shared" si="1"/>
        <v>0.58631666666666604</v>
      </c>
      <c r="D161" s="16">
        <v>365</v>
      </c>
      <c r="E161" s="68">
        <v>74</v>
      </c>
      <c r="F161" s="68">
        <v>74</v>
      </c>
      <c r="G161" s="68">
        <v>74</v>
      </c>
      <c r="H161" s="68">
        <v>74</v>
      </c>
      <c r="I161" s="68">
        <v>74</v>
      </c>
      <c r="J161" s="68">
        <v>74</v>
      </c>
      <c r="K161" s="68">
        <v>74</v>
      </c>
      <c r="L161" s="68">
        <v>74</v>
      </c>
      <c r="M161" s="68">
        <v>74</v>
      </c>
      <c r="N161" s="68">
        <v>74</v>
      </c>
      <c r="O161" s="68">
        <v>74</v>
      </c>
      <c r="P161" s="68">
        <v>74</v>
      </c>
      <c r="Q161" s="68">
        <v>74</v>
      </c>
      <c r="R161" s="68">
        <v>74</v>
      </c>
      <c r="S161" s="68">
        <v>74</v>
      </c>
      <c r="T161" s="68">
        <v>74</v>
      </c>
      <c r="V161" s="50"/>
      <c r="AQ161" s="70"/>
      <c r="AR161" s="70"/>
      <c r="AS161" s="70"/>
    </row>
    <row r="162" spans="2:45" ht="14.1" customHeight="1">
      <c r="B162" s="23"/>
      <c r="C162" s="72">
        <f t="shared" si="1"/>
        <v>0.589716666666666</v>
      </c>
      <c r="D162" s="16">
        <v>370</v>
      </c>
      <c r="E162" s="68">
        <v>75</v>
      </c>
      <c r="F162" s="68">
        <v>75</v>
      </c>
      <c r="G162" s="68">
        <v>75</v>
      </c>
      <c r="H162" s="68">
        <v>75</v>
      </c>
      <c r="I162" s="68">
        <v>75</v>
      </c>
      <c r="J162" s="68">
        <v>75</v>
      </c>
      <c r="K162" s="68">
        <v>75</v>
      </c>
      <c r="L162" s="68">
        <v>75</v>
      </c>
      <c r="M162" s="68">
        <v>75</v>
      </c>
      <c r="N162" s="68">
        <v>75</v>
      </c>
      <c r="O162" s="68">
        <v>75</v>
      </c>
      <c r="P162" s="68">
        <v>75</v>
      </c>
      <c r="Q162" s="68">
        <v>75</v>
      </c>
      <c r="R162" s="68">
        <v>75</v>
      </c>
      <c r="S162" s="68">
        <v>75</v>
      </c>
      <c r="T162" s="68">
        <v>75</v>
      </c>
      <c r="V162" s="50"/>
      <c r="AQ162" s="70"/>
      <c r="AR162" s="70"/>
      <c r="AS162" s="70"/>
    </row>
    <row r="163" spans="2:45" ht="14.1" customHeight="1">
      <c r="B163" s="23"/>
      <c r="C163" s="72">
        <f t="shared" si="1"/>
        <v>0.59311666666666596</v>
      </c>
      <c r="D163" s="16">
        <v>375</v>
      </c>
      <c r="E163" s="68">
        <v>76</v>
      </c>
      <c r="F163" s="68">
        <v>76</v>
      </c>
      <c r="G163" s="68">
        <v>76</v>
      </c>
      <c r="H163" s="68">
        <v>76</v>
      </c>
      <c r="I163" s="68">
        <v>76</v>
      </c>
      <c r="J163" s="68">
        <v>76</v>
      </c>
      <c r="K163" s="68">
        <v>76</v>
      </c>
      <c r="L163" s="68">
        <v>76</v>
      </c>
      <c r="M163" s="68">
        <v>76</v>
      </c>
      <c r="N163" s="68">
        <v>76</v>
      </c>
      <c r="O163" s="68">
        <v>76</v>
      </c>
      <c r="P163" s="68">
        <v>76</v>
      </c>
      <c r="Q163" s="68">
        <v>76</v>
      </c>
      <c r="R163" s="68">
        <v>76</v>
      </c>
      <c r="S163" s="68">
        <v>76</v>
      </c>
      <c r="T163" s="68">
        <v>76</v>
      </c>
      <c r="V163" s="50"/>
      <c r="AQ163" s="70"/>
      <c r="AR163" s="70"/>
      <c r="AS163" s="70"/>
    </row>
    <row r="164" spans="2:45" ht="14.1" customHeight="1">
      <c r="B164" s="23"/>
      <c r="C164" s="72">
        <f t="shared" si="1"/>
        <v>0.59651666666666592</v>
      </c>
      <c r="D164" s="16">
        <v>380</v>
      </c>
      <c r="E164" s="68">
        <v>77</v>
      </c>
      <c r="F164" s="68">
        <v>77</v>
      </c>
      <c r="G164" s="68">
        <v>77</v>
      </c>
      <c r="H164" s="68">
        <v>77</v>
      </c>
      <c r="I164" s="68">
        <v>77</v>
      </c>
      <c r="J164" s="68">
        <v>77</v>
      </c>
      <c r="K164" s="68">
        <v>77</v>
      </c>
      <c r="L164" s="68">
        <v>77</v>
      </c>
      <c r="M164" s="68">
        <v>77</v>
      </c>
      <c r="N164" s="68">
        <v>77</v>
      </c>
      <c r="O164" s="68">
        <v>77</v>
      </c>
      <c r="P164" s="68">
        <v>77</v>
      </c>
      <c r="Q164" s="68">
        <v>77</v>
      </c>
      <c r="R164" s="68">
        <v>77</v>
      </c>
      <c r="S164" s="68">
        <v>77</v>
      </c>
      <c r="T164" s="68">
        <v>77</v>
      </c>
      <c r="V164" s="50"/>
      <c r="AQ164" s="70"/>
      <c r="AR164" s="70"/>
      <c r="AS164" s="70"/>
    </row>
    <row r="165" spans="2:45" ht="14.1" customHeight="1">
      <c r="B165" s="23"/>
      <c r="C165" s="72">
        <f t="shared" si="1"/>
        <v>0.59991666666666588</v>
      </c>
      <c r="D165" s="16">
        <v>385</v>
      </c>
      <c r="E165" s="68">
        <v>78</v>
      </c>
      <c r="F165" s="68">
        <v>78</v>
      </c>
      <c r="G165" s="68">
        <v>78</v>
      </c>
      <c r="H165" s="68">
        <v>78</v>
      </c>
      <c r="I165" s="68">
        <v>78</v>
      </c>
      <c r="J165" s="68">
        <v>78</v>
      </c>
      <c r="K165" s="68">
        <v>78</v>
      </c>
      <c r="L165" s="68">
        <v>78</v>
      </c>
      <c r="M165" s="68">
        <v>78</v>
      </c>
      <c r="N165" s="68">
        <v>78</v>
      </c>
      <c r="O165" s="68">
        <v>78</v>
      </c>
      <c r="P165" s="68">
        <v>78</v>
      </c>
      <c r="Q165" s="68">
        <v>78</v>
      </c>
      <c r="R165" s="68">
        <v>78</v>
      </c>
      <c r="S165" s="68">
        <v>78</v>
      </c>
      <c r="T165" s="68">
        <v>78</v>
      </c>
      <c r="V165" s="50"/>
      <c r="AQ165" s="70"/>
      <c r="AR165" s="70"/>
      <c r="AS165" s="70"/>
    </row>
    <row r="166" spans="2:45" ht="14.1" customHeight="1">
      <c r="B166" s="23"/>
      <c r="C166" s="72">
        <f t="shared" si="1"/>
        <v>0.60331666666666584</v>
      </c>
      <c r="D166" s="65">
        <v>390</v>
      </c>
      <c r="E166" s="69">
        <v>79</v>
      </c>
      <c r="F166" s="69">
        <v>79</v>
      </c>
      <c r="G166" s="69">
        <v>79</v>
      </c>
      <c r="H166" s="69">
        <v>79</v>
      </c>
      <c r="I166" s="69">
        <v>79</v>
      </c>
      <c r="J166" s="69">
        <v>79</v>
      </c>
      <c r="K166" s="69">
        <v>79</v>
      </c>
      <c r="L166" s="69">
        <v>79</v>
      </c>
      <c r="M166" s="69">
        <v>79</v>
      </c>
      <c r="N166" s="69">
        <v>79</v>
      </c>
      <c r="O166" s="69">
        <v>79</v>
      </c>
      <c r="P166" s="69">
        <v>79</v>
      </c>
      <c r="Q166" s="69">
        <v>79</v>
      </c>
      <c r="R166" s="69">
        <v>79</v>
      </c>
      <c r="S166" s="69">
        <v>79</v>
      </c>
      <c r="T166" s="69">
        <v>79</v>
      </c>
      <c r="V166" s="50"/>
      <c r="AQ166" s="70"/>
      <c r="AR166" s="70"/>
      <c r="AS166" s="70"/>
    </row>
    <row r="167" spans="2:45" ht="14.1" customHeight="1">
      <c r="B167" s="23"/>
      <c r="C167" s="72">
        <f t="shared" si="1"/>
        <v>0.60671666666666579</v>
      </c>
      <c r="D167" s="16">
        <v>395</v>
      </c>
      <c r="E167" s="68">
        <v>80</v>
      </c>
      <c r="F167" s="68">
        <v>80</v>
      </c>
      <c r="G167" s="68">
        <v>80</v>
      </c>
      <c r="H167" s="68">
        <v>80</v>
      </c>
      <c r="I167" s="68">
        <v>80</v>
      </c>
      <c r="J167" s="68">
        <v>80</v>
      </c>
      <c r="K167" s="68">
        <v>80</v>
      </c>
      <c r="L167" s="68">
        <v>80</v>
      </c>
      <c r="M167" s="68">
        <v>80</v>
      </c>
      <c r="N167" s="68">
        <v>80</v>
      </c>
      <c r="O167" s="68">
        <v>80</v>
      </c>
      <c r="P167" s="68">
        <v>80</v>
      </c>
      <c r="Q167" s="68">
        <v>80</v>
      </c>
      <c r="R167" s="68">
        <v>80</v>
      </c>
      <c r="S167" s="68">
        <v>80</v>
      </c>
      <c r="T167" s="68">
        <v>80</v>
      </c>
      <c r="V167" s="50"/>
      <c r="AQ167" s="70"/>
      <c r="AR167" s="70"/>
      <c r="AS167" s="70"/>
    </row>
    <row r="168" spans="2:45" ht="14.1" customHeight="1">
      <c r="B168" s="23"/>
      <c r="C168" s="72">
        <f t="shared" si="1"/>
        <v>0.61011666666666575</v>
      </c>
      <c r="D168" s="16">
        <v>400</v>
      </c>
      <c r="E168" s="68">
        <v>81</v>
      </c>
      <c r="F168" s="68">
        <v>81</v>
      </c>
      <c r="G168" s="68">
        <v>81</v>
      </c>
      <c r="H168" s="68">
        <v>81</v>
      </c>
      <c r="I168" s="68">
        <v>81</v>
      </c>
      <c r="J168" s="68">
        <v>81</v>
      </c>
      <c r="K168" s="68">
        <v>81</v>
      </c>
      <c r="L168" s="68">
        <v>81</v>
      </c>
      <c r="M168" s="68">
        <v>81</v>
      </c>
      <c r="N168" s="68">
        <v>81</v>
      </c>
      <c r="O168" s="68">
        <v>81</v>
      </c>
      <c r="P168" s="68">
        <v>81</v>
      </c>
      <c r="Q168" s="68">
        <v>81</v>
      </c>
      <c r="R168" s="68">
        <v>81</v>
      </c>
      <c r="S168" s="68">
        <v>81</v>
      </c>
      <c r="T168" s="68">
        <v>81</v>
      </c>
      <c r="V168" s="50"/>
      <c r="AQ168" s="70"/>
      <c r="AR168" s="70"/>
      <c r="AS168" s="70"/>
    </row>
    <row r="169" spans="2:45" ht="14.1" customHeight="1">
      <c r="B169" s="23"/>
      <c r="C169" s="72">
        <f t="shared" si="1"/>
        <v>0.61351666666666571</v>
      </c>
      <c r="D169" s="16">
        <v>405</v>
      </c>
      <c r="E169" s="68">
        <v>82</v>
      </c>
      <c r="F169" s="68">
        <v>82</v>
      </c>
      <c r="G169" s="68">
        <v>82</v>
      </c>
      <c r="H169" s="68">
        <v>82</v>
      </c>
      <c r="I169" s="68">
        <v>82</v>
      </c>
      <c r="J169" s="68">
        <v>82</v>
      </c>
      <c r="K169" s="68">
        <v>82</v>
      </c>
      <c r="L169" s="68">
        <v>82</v>
      </c>
      <c r="M169" s="68">
        <v>82</v>
      </c>
      <c r="N169" s="68">
        <v>82</v>
      </c>
      <c r="O169" s="68">
        <v>82</v>
      </c>
      <c r="P169" s="68">
        <v>82</v>
      </c>
      <c r="Q169" s="68">
        <v>82</v>
      </c>
      <c r="R169" s="68">
        <v>82</v>
      </c>
      <c r="S169" s="68">
        <v>82</v>
      </c>
      <c r="T169" s="68">
        <v>82</v>
      </c>
      <c r="V169" s="50"/>
      <c r="AQ169" s="70"/>
      <c r="AR169" s="70"/>
      <c r="AS169" s="70"/>
    </row>
    <row r="170" spans="2:45" ht="14.1" customHeight="1">
      <c r="B170" s="23"/>
      <c r="C170" s="72">
        <f t="shared" si="1"/>
        <v>0.61691666666666567</v>
      </c>
      <c r="D170" s="16">
        <v>410</v>
      </c>
      <c r="E170" s="68">
        <v>83</v>
      </c>
      <c r="F170" s="68">
        <v>83</v>
      </c>
      <c r="G170" s="68">
        <v>83</v>
      </c>
      <c r="H170" s="68">
        <v>83</v>
      </c>
      <c r="I170" s="68">
        <v>83</v>
      </c>
      <c r="J170" s="68">
        <v>83</v>
      </c>
      <c r="K170" s="68">
        <v>83</v>
      </c>
      <c r="L170" s="68">
        <v>83</v>
      </c>
      <c r="M170" s="68">
        <v>83</v>
      </c>
      <c r="N170" s="68">
        <v>83</v>
      </c>
      <c r="O170" s="68">
        <v>83</v>
      </c>
      <c r="P170" s="68">
        <v>83</v>
      </c>
      <c r="Q170" s="68">
        <v>83</v>
      </c>
      <c r="R170" s="68">
        <v>83</v>
      </c>
      <c r="S170" s="68">
        <v>83</v>
      </c>
      <c r="T170" s="68">
        <v>83</v>
      </c>
      <c r="V170" s="50"/>
      <c r="AQ170" s="70"/>
      <c r="AR170" s="70"/>
      <c r="AS170" s="70"/>
    </row>
    <row r="171" spans="2:45" ht="14.1" customHeight="1">
      <c r="B171" s="23"/>
      <c r="C171" s="72">
        <f t="shared" si="1"/>
        <v>0.62031666666666563</v>
      </c>
      <c r="D171" s="16">
        <v>415</v>
      </c>
      <c r="E171" s="68">
        <v>84</v>
      </c>
      <c r="F171" s="68">
        <v>84</v>
      </c>
      <c r="G171" s="68">
        <v>84</v>
      </c>
      <c r="H171" s="68">
        <v>84</v>
      </c>
      <c r="I171" s="68">
        <v>84</v>
      </c>
      <c r="J171" s="68">
        <v>84</v>
      </c>
      <c r="K171" s="68">
        <v>84</v>
      </c>
      <c r="L171" s="68">
        <v>84</v>
      </c>
      <c r="M171" s="68">
        <v>84</v>
      </c>
      <c r="N171" s="68">
        <v>84</v>
      </c>
      <c r="O171" s="68">
        <v>84</v>
      </c>
      <c r="P171" s="68">
        <v>84</v>
      </c>
      <c r="Q171" s="68">
        <v>84</v>
      </c>
      <c r="R171" s="68">
        <v>84</v>
      </c>
      <c r="S171" s="68">
        <v>84</v>
      </c>
      <c r="T171" s="68">
        <v>84</v>
      </c>
      <c r="V171" s="50"/>
      <c r="AQ171" s="70"/>
      <c r="AR171" s="70"/>
      <c r="AS171" s="70"/>
    </row>
    <row r="172" spans="2:45" ht="14.1" customHeight="1">
      <c r="B172" s="23"/>
      <c r="C172" s="72">
        <f t="shared" si="1"/>
        <v>0.62371666666666559</v>
      </c>
      <c r="D172" s="65">
        <v>420</v>
      </c>
      <c r="E172" s="69">
        <v>85</v>
      </c>
      <c r="F172" s="69">
        <v>85</v>
      </c>
      <c r="G172" s="69">
        <v>85</v>
      </c>
      <c r="H172" s="69">
        <v>85</v>
      </c>
      <c r="I172" s="69">
        <v>85</v>
      </c>
      <c r="J172" s="69">
        <v>85</v>
      </c>
      <c r="K172" s="69">
        <v>85</v>
      </c>
      <c r="L172" s="69">
        <v>85</v>
      </c>
      <c r="M172" s="69">
        <v>85</v>
      </c>
      <c r="N172" s="69">
        <v>85</v>
      </c>
      <c r="O172" s="69">
        <v>85</v>
      </c>
      <c r="P172" s="69">
        <v>85</v>
      </c>
      <c r="Q172" s="69">
        <v>85</v>
      </c>
      <c r="R172" s="69">
        <v>85</v>
      </c>
      <c r="S172" s="69">
        <v>85</v>
      </c>
      <c r="T172" s="69">
        <v>85</v>
      </c>
      <c r="V172" s="50"/>
      <c r="AQ172" s="70"/>
      <c r="AR172" s="70"/>
      <c r="AS172" s="70"/>
    </row>
    <row r="173" spans="2:45" ht="14.1" customHeight="1">
      <c r="B173" s="23"/>
      <c r="C173" s="72">
        <f t="shared" si="1"/>
        <v>0.62711666666666555</v>
      </c>
      <c r="D173" s="16">
        <v>425</v>
      </c>
      <c r="E173" s="68">
        <v>86</v>
      </c>
      <c r="F173" s="68">
        <v>86</v>
      </c>
      <c r="G173" s="68">
        <v>86</v>
      </c>
      <c r="H173" s="68">
        <v>86</v>
      </c>
      <c r="I173" s="68">
        <v>86</v>
      </c>
      <c r="J173" s="68">
        <v>86</v>
      </c>
      <c r="K173" s="68">
        <v>86</v>
      </c>
      <c r="L173" s="68">
        <v>86</v>
      </c>
      <c r="M173" s="68">
        <v>86</v>
      </c>
      <c r="N173" s="68">
        <v>86</v>
      </c>
      <c r="O173" s="68">
        <v>86</v>
      </c>
      <c r="P173" s="68">
        <v>86</v>
      </c>
      <c r="Q173" s="68">
        <v>86</v>
      </c>
      <c r="R173" s="68">
        <v>86</v>
      </c>
      <c r="S173" s="68">
        <v>86</v>
      </c>
      <c r="T173" s="68">
        <v>86</v>
      </c>
      <c r="V173" s="50"/>
      <c r="AQ173" s="70"/>
      <c r="AR173" s="70"/>
      <c r="AS173" s="70"/>
    </row>
    <row r="174" spans="2:45" ht="14.1" customHeight="1">
      <c r="B174" s="23"/>
      <c r="C174" s="72">
        <f t="shared" si="1"/>
        <v>0.6305166666666655</v>
      </c>
      <c r="D174" s="16">
        <v>430</v>
      </c>
      <c r="E174" s="68">
        <v>87</v>
      </c>
      <c r="F174" s="68">
        <v>87</v>
      </c>
      <c r="G174" s="68">
        <v>87</v>
      </c>
      <c r="H174" s="68">
        <v>87</v>
      </c>
      <c r="I174" s="68">
        <v>87</v>
      </c>
      <c r="J174" s="68">
        <v>87</v>
      </c>
      <c r="K174" s="68">
        <v>87</v>
      </c>
      <c r="L174" s="68">
        <v>87</v>
      </c>
      <c r="M174" s="68">
        <v>87</v>
      </c>
      <c r="N174" s="68">
        <v>87</v>
      </c>
      <c r="O174" s="68">
        <v>87</v>
      </c>
      <c r="P174" s="68">
        <v>87</v>
      </c>
      <c r="Q174" s="68">
        <v>87</v>
      </c>
      <c r="R174" s="68">
        <v>87</v>
      </c>
      <c r="S174" s="68">
        <v>87</v>
      </c>
      <c r="T174" s="68">
        <v>87</v>
      </c>
      <c r="V174" s="50"/>
      <c r="AQ174" s="70"/>
      <c r="AR174" s="70"/>
      <c r="AS174" s="70"/>
    </row>
    <row r="175" spans="2:45" ht="14.1" customHeight="1">
      <c r="B175" s="23"/>
      <c r="C175" s="72">
        <f t="shared" si="1"/>
        <v>0.63391666666666546</v>
      </c>
      <c r="D175" s="16">
        <v>435</v>
      </c>
      <c r="E175" s="68">
        <v>88</v>
      </c>
      <c r="F175" s="68">
        <v>88</v>
      </c>
      <c r="G175" s="68">
        <v>88</v>
      </c>
      <c r="H175" s="68">
        <v>88</v>
      </c>
      <c r="I175" s="68">
        <v>88</v>
      </c>
      <c r="J175" s="68">
        <v>88</v>
      </c>
      <c r="K175" s="68">
        <v>88</v>
      </c>
      <c r="L175" s="68">
        <v>88</v>
      </c>
      <c r="M175" s="68">
        <v>88</v>
      </c>
      <c r="N175" s="68">
        <v>88</v>
      </c>
      <c r="O175" s="68">
        <v>88</v>
      </c>
      <c r="P175" s="68">
        <v>88</v>
      </c>
      <c r="Q175" s="68">
        <v>88</v>
      </c>
      <c r="R175" s="68">
        <v>88</v>
      </c>
      <c r="S175" s="68">
        <v>88</v>
      </c>
      <c r="T175" s="68">
        <v>88</v>
      </c>
      <c r="V175" s="50"/>
      <c r="AQ175" s="70"/>
      <c r="AR175" s="70"/>
      <c r="AS175" s="70"/>
    </row>
    <row r="176" spans="2:45" ht="14.1" customHeight="1">
      <c r="B176" s="23"/>
      <c r="C176" s="72">
        <f t="shared" si="1"/>
        <v>0.63731666666666542</v>
      </c>
      <c r="D176" s="16">
        <v>440</v>
      </c>
      <c r="E176" s="68">
        <v>89</v>
      </c>
      <c r="F176" s="68">
        <v>89</v>
      </c>
      <c r="G176" s="68">
        <v>89</v>
      </c>
      <c r="H176" s="68">
        <v>89</v>
      </c>
      <c r="I176" s="68">
        <v>89</v>
      </c>
      <c r="J176" s="68">
        <v>89</v>
      </c>
      <c r="K176" s="68">
        <v>89</v>
      </c>
      <c r="L176" s="68">
        <v>89</v>
      </c>
      <c r="M176" s="68">
        <v>89</v>
      </c>
      <c r="N176" s="68">
        <v>89</v>
      </c>
      <c r="O176" s="68">
        <v>89</v>
      </c>
      <c r="P176" s="68">
        <v>89</v>
      </c>
      <c r="Q176" s="68">
        <v>89</v>
      </c>
      <c r="R176" s="68">
        <v>89</v>
      </c>
      <c r="S176" s="68">
        <v>89</v>
      </c>
      <c r="T176" s="68">
        <v>89</v>
      </c>
      <c r="V176" s="50"/>
      <c r="AQ176" s="70"/>
      <c r="AR176" s="70"/>
      <c r="AS176" s="70"/>
    </row>
    <row r="177" spans="2:45" ht="14.1" customHeight="1">
      <c r="B177" s="23"/>
      <c r="C177" s="72">
        <f t="shared" si="1"/>
        <v>0.64071666666666538</v>
      </c>
      <c r="D177" s="16">
        <v>445</v>
      </c>
      <c r="E177" s="68">
        <v>90</v>
      </c>
      <c r="F177" s="68">
        <v>90</v>
      </c>
      <c r="G177" s="68">
        <v>90</v>
      </c>
      <c r="H177" s="68">
        <v>90</v>
      </c>
      <c r="I177" s="68">
        <v>90</v>
      </c>
      <c r="J177" s="68">
        <v>90</v>
      </c>
      <c r="K177" s="68">
        <v>90</v>
      </c>
      <c r="L177" s="68">
        <v>90</v>
      </c>
      <c r="M177" s="68">
        <v>90</v>
      </c>
      <c r="N177" s="68">
        <v>90</v>
      </c>
      <c r="O177" s="68">
        <v>90</v>
      </c>
      <c r="P177" s="68">
        <v>90</v>
      </c>
      <c r="Q177" s="68">
        <v>90</v>
      </c>
      <c r="R177" s="68">
        <v>90</v>
      </c>
      <c r="S177" s="68">
        <v>90</v>
      </c>
      <c r="T177" s="68">
        <v>90</v>
      </c>
      <c r="V177" s="50"/>
      <c r="AQ177" s="70"/>
      <c r="AR177" s="70"/>
      <c r="AS177" s="70"/>
    </row>
    <row r="178" spans="2:45" ht="14.1" customHeight="1">
      <c r="B178" s="23"/>
      <c r="C178" s="72">
        <f t="shared" si="1"/>
        <v>0.64411666666666534</v>
      </c>
      <c r="D178" s="65">
        <v>450</v>
      </c>
      <c r="E178" s="69">
        <v>91</v>
      </c>
      <c r="F178" s="69">
        <v>91</v>
      </c>
      <c r="G178" s="69">
        <v>91</v>
      </c>
      <c r="H178" s="69">
        <v>91</v>
      </c>
      <c r="I178" s="69">
        <v>91</v>
      </c>
      <c r="J178" s="69">
        <v>91</v>
      </c>
      <c r="K178" s="69">
        <v>91</v>
      </c>
      <c r="L178" s="69">
        <v>91</v>
      </c>
      <c r="M178" s="69">
        <v>91</v>
      </c>
      <c r="N178" s="69">
        <v>91</v>
      </c>
      <c r="O178" s="69">
        <v>91</v>
      </c>
      <c r="P178" s="69">
        <v>91</v>
      </c>
      <c r="Q178" s="69">
        <v>91</v>
      </c>
      <c r="R178" s="69">
        <v>91</v>
      </c>
      <c r="S178" s="69">
        <v>91</v>
      </c>
      <c r="T178" s="69">
        <v>91</v>
      </c>
      <c r="V178" s="50"/>
      <c r="AQ178" s="70"/>
      <c r="AR178" s="70"/>
      <c r="AS178" s="70"/>
    </row>
    <row r="179" spans="2:45" ht="14.1" customHeight="1">
      <c r="B179" s="23"/>
      <c r="C179" s="72">
        <f t="shared" si="1"/>
        <v>0.6475166666666653</v>
      </c>
      <c r="D179" s="16">
        <v>455</v>
      </c>
      <c r="E179" s="68">
        <v>92</v>
      </c>
      <c r="F179" s="68">
        <v>92</v>
      </c>
      <c r="G179" s="68">
        <v>92</v>
      </c>
      <c r="H179" s="68">
        <v>92</v>
      </c>
      <c r="I179" s="68">
        <v>92</v>
      </c>
      <c r="J179" s="68">
        <v>92</v>
      </c>
      <c r="K179" s="68">
        <v>92</v>
      </c>
      <c r="L179" s="68">
        <v>92</v>
      </c>
      <c r="M179" s="68">
        <v>92</v>
      </c>
      <c r="N179" s="68">
        <v>92</v>
      </c>
      <c r="O179" s="68">
        <v>92</v>
      </c>
      <c r="P179" s="68">
        <v>92</v>
      </c>
      <c r="Q179" s="68">
        <v>92</v>
      </c>
      <c r="R179" s="68">
        <v>92</v>
      </c>
      <c r="S179" s="68">
        <v>92</v>
      </c>
      <c r="T179" s="68">
        <v>92</v>
      </c>
      <c r="V179" s="50"/>
      <c r="AQ179" s="70"/>
      <c r="AR179" s="70"/>
      <c r="AS179" s="70"/>
    </row>
    <row r="180" spans="2:45" ht="14.1" customHeight="1">
      <c r="B180" s="23"/>
      <c r="C180" s="72">
        <f t="shared" si="1"/>
        <v>0.65091666666666526</v>
      </c>
      <c r="D180" s="16">
        <v>460</v>
      </c>
      <c r="E180" s="68">
        <v>93</v>
      </c>
      <c r="F180" s="68">
        <v>93</v>
      </c>
      <c r="G180" s="68">
        <v>93</v>
      </c>
      <c r="H180" s="68">
        <v>93</v>
      </c>
      <c r="I180" s="68">
        <v>93</v>
      </c>
      <c r="J180" s="68">
        <v>93</v>
      </c>
      <c r="K180" s="68">
        <v>93</v>
      </c>
      <c r="L180" s="68">
        <v>93</v>
      </c>
      <c r="M180" s="68">
        <v>93</v>
      </c>
      <c r="N180" s="68">
        <v>93</v>
      </c>
      <c r="O180" s="68">
        <v>93</v>
      </c>
      <c r="P180" s="68">
        <v>93</v>
      </c>
      <c r="Q180" s="68">
        <v>93</v>
      </c>
      <c r="R180" s="68">
        <v>93</v>
      </c>
      <c r="S180" s="68">
        <v>93</v>
      </c>
      <c r="T180" s="68">
        <v>93</v>
      </c>
      <c r="V180" s="50"/>
      <c r="AQ180" s="70"/>
      <c r="AR180" s="70"/>
      <c r="AS180" s="70"/>
    </row>
    <row r="181" spans="2:45" ht="14.1" customHeight="1">
      <c r="B181" s="23"/>
      <c r="C181" s="72">
        <f t="shared" si="1"/>
        <v>0.65431666666666521</v>
      </c>
      <c r="D181" s="16">
        <v>465</v>
      </c>
      <c r="E181" s="68">
        <v>94</v>
      </c>
      <c r="F181" s="68">
        <v>94</v>
      </c>
      <c r="G181" s="68">
        <v>94</v>
      </c>
      <c r="H181" s="68">
        <v>94</v>
      </c>
      <c r="I181" s="68">
        <v>94</v>
      </c>
      <c r="J181" s="68">
        <v>94</v>
      </c>
      <c r="K181" s="68">
        <v>94</v>
      </c>
      <c r="L181" s="68">
        <v>94</v>
      </c>
      <c r="M181" s="68">
        <v>94</v>
      </c>
      <c r="N181" s="68">
        <v>94</v>
      </c>
      <c r="O181" s="68">
        <v>94</v>
      </c>
      <c r="P181" s="68">
        <v>94</v>
      </c>
      <c r="Q181" s="68">
        <v>94</v>
      </c>
      <c r="R181" s="68">
        <v>94</v>
      </c>
      <c r="S181" s="68">
        <v>94</v>
      </c>
      <c r="T181" s="68">
        <v>94</v>
      </c>
      <c r="V181" s="50"/>
      <c r="AQ181" s="70"/>
      <c r="AR181" s="70"/>
      <c r="AS181" s="70"/>
    </row>
    <row r="182" spans="2:45" ht="14.1" customHeight="1">
      <c r="B182" s="23"/>
      <c r="C182" s="72">
        <f t="shared" ref="C182:C208" si="2">C181+0.0034</f>
        <v>0.65771666666666517</v>
      </c>
      <c r="D182" s="16">
        <v>470</v>
      </c>
      <c r="E182" s="68">
        <v>95</v>
      </c>
      <c r="F182" s="68">
        <v>95</v>
      </c>
      <c r="G182" s="68">
        <v>95</v>
      </c>
      <c r="H182" s="68">
        <v>95</v>
      </c>
      <c r="I182" s="68">
        <v>95</v>
      </c>
      <c r="J182" s="68">
        <v>95</v>
      </c>
      <c r="K182" s="68">
        <v>95</v>
      </c>
      <c r="L182" s="68">
        <v>95</v>
      </c>
      <c r="M182" s="68">
        <v>95</v>
      </c>
      <c r="N182" s="68">
        <v>95</v>
      </c>
      <c r="O182" s="68">
        <v>95</v>
      </c>
      <c r="P182" s="68">
        <v>95</v>
      </c>
      <c r="Q182" s="68">
        <v>95</v>
      </c>
      <c r="R182" s="68">
        <v>95</v>
      </c>
      <c r="S182" s="68">
        <v>95</v>
      </c>
      <c r="T182" s="68">
        <v>95</v>
      </c>
      <c r="V182" s="50"/>
      <c r="AQ182" s="70"/>
      <c r="AR182" s="70"/>
      <c r="AS182" s="70"/>
    </row>
    <row r="183" spans="2:45" ht="14.1" customHeight="1">
      <c r="B183" s="23"/>
      <c r="C183" s="72">
        <f t="shared" si="2"/>
        <v>0.66111666666666513</v>
      </c>
      <c r="D183" s="16">
        <v>475</v>
      </c>
      <c r="E183" s="68">
        <v>96</v>
      </c>
      <c r="F183" s="68">
        <v>96</v>
      </c>
      <c r="G183" s="68">
        <v>96</v>
      </c>
      <c r="H183" s="68">
        <v>96</v>
      </c>
      <c r="I183" s="68">
        <v>96</v>
      </c>
      <c r="J183" s="68">
        <v>96</v>
      </c>
      <c r="K183" s="68">
        <v>96</v>
      </c>
      <c r="L183" s="68">
        <v>96</v>
      </c>
      <c r="M183" s="68">
        <v>96</v>
      </c>
      <c r="N183" s="68">
        <v>96</v>
      </c>
      <c r="O183" s="68">
        <v>96</v>
      </c>
      <c r="P183" s="68">
        <v>96</v>
      </c>
      <c r="Q183" s="68">
        <v>96</v>
      </c>
      <c r="R183" s="68">
        <v>96</v>
      </c>
      <c r="S183" s="68">
        <v>96</v>
      </c>
      <c r="T183" s="68">
        <v>96</v>
      </c>
      <c r="V183" s="50"/>
      <c r="AQ183" s="70"/>
      <c r="AR183" s="70"/>
      <c r="AS183" s="70"/>
    </row>
    <row r="184" spans="2:45" ht="14.1" customHeight="1">
      <c r="B184" s="23"/>
      <c r="C184" s="72">
        <f t="shared" si="2"/>
        <v>0.66451666666666509</v>
      </c>
      <c r="D184" s="65">
        <v>480</v>
      </c>
      <c r="E184" s="69">
        <v>97</v>
      </c>
      <c r="F184" s="69">
        <v>97</v>
      </c>
      <c r="G184" s="69">
        <v>97</v>
      </c>
      <c r="H184" s="69">
        <v>97</v>
      </c>
      <c r="I184" s="69">
        <v>97</v>
      </c>
      <c r="J184" s="69">
        <v>97</v>
      </c>
      <c r="K184" s="69">
        <v>97</v>
      </c>
      <c r="L184" s="69">
        <v>97</v>
      </c>
      <c r="M184" s="69">
        <v>97</v>
      </c>
      <c r="N184" s="69">
        <v>97</v>
      </c>
      <c r="O184" s="69">
        <v>97</v>
      </c>
      <c r="P184" s="69">
        <v>97</v>
      </c>
      <c r="Q184" s="69">
        <v>97</v>
      </c>
      <c r="R184" s="69">
        <v>97</v>
      </c>
      <c r="S184" s="69">
        <v>97</v>
      </c>
      <c r="T184" s="69">
        <v>97</v>
      </c>
      <c r="V184" s="50"/>
      <c r="AQ184" s="70"/>
      <c r="AR184" s="70"/>
      <c r="AS184" s="70"/>
    </row>
    <row r="185" spans="2:45" ht="14.1" customHeight="1">
      <c r="B185" s="23"/>
      <c r="C185" s="72">
        <f t="shared" si="2"/>
        <v>0.66791666666666505</v>
      </c>
      <c r="D185" s="16">
        <v>485</v>
      </c>
      <c r="E185" s="68">
        <v>98</v>
      </c>
      <c r="F185" s="68">
        <v>98</v>
      </c>
      <c r="G185" s="68">
        <v>98</v>
      </c>
      <c r="H185" s="68">
        <v>98</v>
      </c>
      <c r="I185" s="68">
        <v>98</v>
      </c>
      <c r="J185" s="68">
        <v>98</v>
      </c>
      <c r="K185" s="68">
        <v>98</v>
      </c>
      <c r="L185" s="68">
        <v>98</v>
      </c>
      <c r="M185" s="68">
        <v>98</v>
      </c>
      <c r="N185" s="68">
        <v>98</v>
      </c>
      <c r="O185" s="68">
        <v>98</v>
      </c>
      <c r="P185" s="68">
        <v>98</v>
      </c>
      <c r="Q185" s="68">
        <v>98</v>
      </c>
      <c r="R185" s="68">
        <v>98</v>
      </c>
      <c r="S185" s="68">
        <v>98</v>
      </c>
      <c r="T185" s="68">
        <v>98</v>
      </c>
      <c r="V185" s="50"/>
      <c r="AQ185" s="70"/>
      <c r="AR185" s="70"/>
      <c r="AS185" s="70"/>
    </row>
    <row r="186" spans="2:45" ht="14.1" customHeight="1">
      <c r="B186" s="23"/>
      <c r="C186" s="72">
        <f t="shared" si="2"/>
        <v>0.67131666666666501</v>
      </c>
      <c r="D186" s="16">
        <v>490</v>
      </c>
      <c r="E186" s="68">
        <v>99</v>
      </c>
      <c r="F186" s="68">
        <v>99</v>
      </c>
      <c r="G186" s="68">
        <v>99</v>
      </c>
      <c r="H186" s="68">
        <v>99</v>
      </c>
      <c r="I186" s="68">
        <v>99</v>
      </c>
      <c r="J186" s="68">
        <v>99</v>
      </c>
      <c r="K186" s="68">
        <v>99</v>
      </c>
      <c r="L186" s="68">
        <v>99</v>
      </c>
      <c r="M186" s="68">
        <v>99</v>
      </c>
      <c r="N186" s="68">
        <v>99</v>
      </c>
      <c r="O186" s="68">
        <v>99</v>
      </c>
      <c r="P186" s="68">
        <v>99</v>
      </c>
      <c r="Q186" s="68">
        <v>99</v>
      </c>
      <c r="R186" s="68">
        <v>99</v>
      </c>
      <c r="S186" s="68">
        <v>99</v>
      </c>
      <c r="T186" s="68">
        <v>99</v>
      </c>
      <c r="V186" s="50"/>
      <c r="AQ186" s="70"/>
      <c r="AR186" s="70"/>
      <c r="AS186" s="70"/>
    </row>
    <row r="187" spans="2:45" ht="14.1" customHeight="1">
      <c r="B187" s="23"/>
      <c r="C187" s="72">
        <f t="shared" si="2"/>
        <v>0.67471666666666497</v>
      </c>
      <c r="D187" s="16">
        <v>495</v>
      </c>
      <c r="E187" s="68">
        <v>100</v>
      </c>
      <c r="F187" s="68">
        <v>100</v>
      </c>
      <c r="G187" s="68">
        <v>100</v>
      </c>
      <c r="H187" s="68">
        <v>100</v>
      </c>
      <c r="I187" s="68">
        <v>100</v>
      </c>
      <c r="J187" s="68">
        <v>100</v>
      </c>
      <c r="K187" s="68">
        <v>100</v>
      </c>
      <c r="L187" s="68">
        <v>100</v>
      </c>
      <c r="M187" s="68">
        <v>100</v>
      </c>
      <c r="N187" s="68">
        <v>100</v>
      </c>
      <c r="O187" s="68">
        <v>100</v>
      </c>
      <c r="P187" s="68">
        <v>100</v>
      </c>
      <c r="Q187" s="68">
        <v>100</v>
      </c>
      <c r="R187" s="68">
        <v>100</v>
      </c>
      <c r="S187" s="68">
        <v>100</v>
      </c>
      <c r="T187" s="68">
        <v>100</v>
      </c>
      <c r="V187" s="50"/>
      <c r="AQ187" s="70"/>
      <c r="AR187" s="70"/>
      <c r="AS187" s="70"/>
    </row>
    <row r="188" spans="2:45" ht="14.1" customHeight="1">
      <c r="B188" s="23"/>
      <c r="C188" s="72">
        <f t="shared" si="2"/>
        <v>0.67811666666666492</v>
      </c>
      <c r="D188" s="16">
        <v>500</v>
      </c>
      <c r="E188" s="68">
        <v>101</v>
      </c>
      <c r="F188" s="68">
        <v>101</v>
      </c>
      <c r="G188" s="68">
        <v>101</v>
      </c>
      <c r="H188" s="68">
        <v>101</v>
      </c>
      <c r="I188" s="68">
        <v>101</v>
      </c>
      <c r="J188" s="68">
        <v>101</v>
      </c>
      <c r="K188" s="68">
        <v>101</v>
      </c>
      <c r="L188" s="68">
        <v>101</v>
      </c>
      <c r="M188" s="68">
        <v>101</v>
      </c>
      <c r="N188" s="68">
        <v>101</v>
      </c>
      <c r="O188" s="68">
        <v>101</v>
      </c>
      <c r="P188" s="68">
        <v>101</v>
      </c>
      <c r="Q188" s="68">
        <v>101</v>
      </c>
      <c r="R188" s="68">
        <v>101</v>
      </c>
      <c r="S188" s="68">
        <v>101</v>
      </c>
      <c r="T188" s="68">
        <v>101</v>
      </c>
      <c r="V188" s="50"/>
      <c r="AQ188" s="70"/>
      <c r="AR188" s="70"/>
      <c r="AS188" s="70"/>
    </row>
    <row r="189" spans="2:45" ht="14.1" customHeight="1">
      <c r="B189" s="23"/>
      <c r="C189" s="72">
        <f t="shared" si="2"/>
        <v>0.68151666666666488</v>
      </c>
      <c r="D189" s="16">
        <v>505</v>
      </c>
      <c r="E189" s="68">
        <v>102</v>
      </c>
      <c r="F189" s="68">
        <v>102</v>
      </c>
      <c r="G189" s="68">
        <v>102</v>
      </c>
      <c r="H189" s="68">
        <v>102</v>
      </c>
      <c r="I189" s="68">
        <v>102</v>
      </c>
      <c r="J189" s="68">
        <v>102</v>
      </c>
      <c r="K189" s="68">
        <v>102</v>
      </c>
      <c r="L189" s="68">
        <v>102</v>
      </c>
      <c r="M189" s="68">
        <v>102</v>
      </c>
      <c r="N189" s="68">
        <v>102</v>
      </c>
      <c r="O189" s="68">
        <v>102</v>
      </c>
      <c r="P189" s="68">
        <v>102</v>
      </c>
      <c r="Q189" s="68">
        <v>102</v>
      </c>
      <c r="R189" s="68">
        <v>102</v>
      </c>
      <c r="S189" s="68">
        <v>102</v>
      </c>
      <c r="T189" s="68">
        <v>102</v>
      </c>
      <c r="V189" s="50"/>
      <c r="AQ189" s="70"/>
      <c r="AR189" s="70"/>
      <c r="AS189" s="70"/>
    </row>
    <row r="190" spans="2:45" ht="14.1" customHeight="1">
      <c r="B190" s="23"/>
      <c r="C190" s="72">
        <f t="shared" si="2"/>
        <v>0.68491666666666484</v>
      </c>
      <c r="D190" s="65">
        <v>510</v>
      </c>
      <c r="E190" s="69">
        <v>103</v>
      </c>
      <c r="F190" s="69">
        <v>103</v>
      </c>
      <c r="G190" s="69">
        <v>103</v>
      </c>
      <c r="H190" s="69">
        <v>103</v>
      </c>
      <c r="I190" s="69">
        <v>103</v>
      </c>
      <c r="J190" s="69">
        <v>103</v>
      </c>
      <c r="K190" s="69">
        <v>103</v>
      </c>
      <c r="L190" s="69">
        <v>103</v>
      </c>
      <c r="M190" s="69">
        <v>103</v>
      </c>
      <c r="N190" s="69">
        <v>103</v>
      </c>
      <c r="O190" s="69">
        <v>103</v>
      </c>
      <c r="P190" s="69">
        <v>103</v>
      </c>
      <c r="Q190" s="69">
        <v>103</v>
      </c>
      <c r="R190" s="69">
        <v>103</v>
      </c>
      <c r="S190" s="69">
        <v>103</v>
      </c>
      <c r="T190" s="69">
        <v>103</v>
      </c>
      <c r="V190" s="50"/>
      <c r="AQ190" s="70"/>
      <c r="AR190" s="70"/>
      <c r="AS190" s="70"/>
    </row>
    <row r="191" spans="2:45" ht="14.1" customHeight="1">
      <c r="B191" s="23"/>
      <c r="C191" s="72">
        <f t="shared" si="2"/>
        <v>0.6883166666666648</v>
      </c>
      <c r="D191" s="16">
        <v>515</v>
      </c>
      <c r="E191" s="68">
        <v>104</v>
      </c>
      <c r="F191" s="68">
        <v>104</v>
      </c>
      <c r="G191" s="68">
        <v>104</v>
      </c>
      <c r="H191" s="68">
        <v>104</v>
      </c>
      <c r="I191" s="68">
        <v>104</v>
      </c>
      <c r="J191" s="68">
        <v>104</v>
      </c>
      <c r="K191" s="68">
        <v>104</v>
      </c>
      <c r="L191" s="68">
        <v>104</v>
      </c>
      <c r="M191" s="68">
        <v>104</v>
      </c>
      <c r="N191" s="68">
        <v>104</v>
      </c>
      <c r="O191" s="68">
        <v>104</v>
      </c>
      <c r="P191" s="68">
        <v>104</v>
      </c>
      <c r="Q191" s="68">
        <v>104</v>
      </c>
      <c r="R191" s="68">
        <v>104</v>
      </c>
      <c r="S191" s="68">
        <v>104</v>
      </c>
      <c r="T191" s="68">
        <v>104</v>
      </c>
      <c r="V191" s="50"/>
      <c r="Y191" s="66"/>
      <c r="AE191" s="67"/>
      <c r="AF191" s="67"/>
      <c r="AG191" s="67"/>
      <c r="AJ191" s="70"/>
      <c r="AK191" s="70"/>
      <c r="AL191" s="70"/>
      <c r="AM191" s="70"/>
      <c r="AN191" s="70"/>
      <c r="AO191" s="70"/>
      <c r="AP191" s="70"/>
      <c r="AQ191" s="70"/>
      <c r="AR191" s="70"/>
      <c r="AS191" s="70"/>
    </row>
    <row r="192" spans="2:45" ht="14.1" customHeight="1">
      <c r="B192" s="23"/>
      <c r="C192" s="72">
        <f t="shared" si="2"/>
        <v>0.69171666666666476</v>
      </c>
      <c r="D192" s="16">
        <v>520</v>
      </c>
      <c r="E192" s="68">
        <v>105</v>
      </c>
      <c r="F192" s="68">
        <v>105</v>
      </c>
      <c r="G192" s="68">
        <v>105</v>
      </c>
      <c r="H192" s="68">
        <v>105</v>
      </c>
      <c r="I192" s="68">
        <v>105</v>
      </c>
      <c r="J192" s="68">
        <v>105</v>
      </c>
      <c r="K192" s="68">
        <v>105</v>
      </c>
      <c r="L192" s="68">
        <v>105</v>
      </c>
      <c r="M192" s="68">
        <v>105</v>
      </c>
      <c r="N192" s="68">
        <v>105</v>
      </c>
      <c r="O192" s="68">
        <v>105</v>
      </c>
      <c r="P192" s="68">
        <v>105</v>
      </c>
      <c r="Q192" s="68">
        <v>105</v>
      </c>
      <c r="R192" s="68">
        <v>105</v>
      </c>
      <c r="S192" s="68">
        <v>105</v>
      </c>
      <c r="T192" s="68">
        <v>105</v>
      </c>
      <c r="V192" s="50"/>
      <c r="Y192" s="66"/>
      <c r="AE192" s="67"/>
      <c r="AF192" s="67"/>
      <c r="AG192" s="67"/>
      <c r="AJ192" s="70"/>
      <c r="AK192" s="70"/>
      <c r="AL192" s="70"/>
      <c r="AM192" s="70"/>
      <c r="AN192" s="70"/>
      <c r="AO192" s="70"/>
      <c r="AP192" s="70"/>
      <c r="AQ192" s="70"/>
      <c r="AR192" s="70"/>
      <c r="AS192" s="70"/>
    </row>
    <row r="193" spans="2:45" ht="14.1" customHeight="1">
      <c r="B193" s="23"/>
      <c r="C193" s="72">
        <f t="shared" si="2"/>
        <v>0.69511666666666472</v>
      </c>
      <c r="D193" s="16">
        <v>525</v>
      </c>
      <c r="E193" s="68">
        <v>106</v>
      </c>
      <c r="F193" s="68">
        <v>106</v>
      </c>
      <c r="G193" s="68">
        <v>106</v>
      </c>
      <c r="H193" s="68">
        <v>106</v>
      </c>
      <c r="I193" s="68">
        <v>106</v>
      </c>
      <c r="J193" s="68">
        <v>106</v>
      </c>
      <c r="K193" s="68">
        <v>106</v>
      </c>
      <c r="L193" s="68">
        <v>106</v>
      </c>
      <c r="M193" s="68">
        <v>106</v>
      </c>
      <c r="N193" s="68">
        <v>106</v>
      </c>
      <c r="O193" s="68">
        <v>106</v>
      </c>
      <c r="P193" s="68">
        <v>106</v>
      </c>
      <c r="Q193" s="68">
        <v>106</v>
      </c>
      <c r="R193" s="68">
        <v>106</v>
      </c>
      <c r="S193" s="68">
        <v>106</v>
      </c>
      <c r="T193" s="68">
        <v>106</v>
      </c>
      <c r="V193" s="50"/>
      <c r="Y193" s="66"/>
      <c r="AE193" s="67"/>
      <c r="AF193" s="67"/>
      <c r="AG193" s="67"/>
      <c r="AJ193" s="70"/>
      <c r="AK193" s="70"/>
      <c r="AL193" s="70"/>
      <c r="AM193" s="70"/>
      <c r="AN193" s="70"/>
      <c r="AO193" s="70"/>
      <c r="AP193" s="70"/>
      <c r="AQ193" s="70"/>
      <c r="AR193" s="70"/>
      <c r="AS193" s="70"/>
    </row>
    <row r="194" spans="2:45" ht="14.1" customHeight="1">
      <c r="B194" s="23"/>
      <c r="C194" s="72">
        <f t="shared" si="2"/>
        <v>0.69851666666666468</v>
      </c>
      <c r="D194" s="16">
        <v>530</v>
      </c>
      <c r="E194" s="68">
        <v>107</v>
      </c>
      <c r="F194" s="68">
        <v>107</v>
      </c>
      <c r="G194" s="68">
        <v>107</v>
      </c>
      <c r="H194" s="68">
        <v>107</v>
      </c>
      <c r="I194" s="68">
        <v>107</v>
      </c>
      <c r="J194" s="68">
        <v>107</v>
      </c>
      <c r="K194" s="68">
        <v>107</v>
      </c>
      <c r="L194" s="68">
        <v>107</v>
      </c>
      <c r="M194" s="68">
        <v>107</v>
      </c>
      <c r="N194" s="68">
        <v>107</v>
      </c>
      <c r="O194" s="68">
        <v>107</v>
      </c>
      <c r="P194" s="68">
        <v>107</v>
      </c>
      <c r="Q194" s="68">
        <v>107</v>
      </c>
      <c r="R194" s="68">
        <v>107</v>
      </c>
      <c r="S194" s="68">
        <v>107</v>
      </c>
      <c r="T194" s="68">
        <v>107</v>
      </c>
      <c r="V194" s="50"/>
      <c r="Y194" s="66"/>
      <c r="AE194" s="67"/>
      <c r="AF194" s="67"/>
      <c r="AG194" s="67"/>
      <c r="AJ194" s="70"/>
      <c r="AK194" s="70"/>
      <c r="AL194" s="70"/>
      <c r="AM194" s="70"/>
      <c r="AN194" s="70"/>
      <c r="AO194" s="70"/>
      <c r="AP194" s="70"/>
      <c r="AQ194" s="70"/>
      <c r="AR194" s="70"/>
      <c r="AS194" s="70"/>
    </row>
    <row r="195" spans="2:45" ht="14.1" customHeight="1">
      <c r="B195" s="23"/>
      <c r="C195" s="72">
        <f t="shared" si="2"/>
        <v>0.70191666666666463</v>
      </c>
      <c r="D195" s="16">
        <v>535</v>
      </c>
      <c r="E195" s="68">
        <v>108</v>
      </c>
      <c r="F195" s="68">
        <v>108</v>
      </c>
      <c r="G195" s="68">
        <v>108</v>
      </c>
      <c r="H195" s="68">
        <v>108</v>
      </c>
      <c r="I195" s="68">
        <v>108</v>
      </c>
      <c r="J195" s="68">
        <v>108</v>
      </c>
      <c r="K195" s="68">
        <v>108</v>
      </c>
      <c r="L195" s="68">
        <v>108</v>
      </c>
      <c r="M195" s="68">
        <v>108</v>
      </c>
      <c r="N195" s="68">
        <v>108</v>
      </c>
      <c r="O195" s="68">
        <v>108</v>
      </c>
      <c r="P195" s="68">
        <v>108</v>
      </c>
      <c r="Q195" s="68">
        <v>108</v>
      </c>
      <c r="R195" s="68">
        <v>108</v>
      </c>
      <c r="S195" s="68">
        <v>108</v>
      </c>
      <c r="T195" s="68">
        <v>108</v>
      </c>
      <c r="V195" s="50"/>
      <c r="Y195" s="66"/>
      <c r="AE195" s="67"/>
      <c r="AF195" s="67"/>
      <c r="AG195" s="67"/>
      <c r="AJ195" s="70"/>
      <c r="AK195" s="70"/>
      <c r="AL195" s="70"/>
      <c r="AM195" s="70"/>
      <c r="AN195" s="70"/>
      <c r="AO195" s="70"/>
      <c r="AP195" s="70"/>
      <c r="AQ195" s="70"/>
      <c r="AR195" s="70"/>
      <c r="AS195" s="70"/>
    </row>
    <row r="196" spans="2:45" ht="14.1" customHeight="1">
      <c r="B196" s="23"/>
      <c r="C196" s="72">
        <f t="shared" si="2"/>
        <v>0.70531666666666459</v>
      </c>
      <c r="D196" s="71">
        <v>540</v>
      </c>
      <c r="E196" s="69">
        <v>109</v>
      </c>
      <c r="F196" s="69">
        <v>109</v>
      </c>
      <c r="G196" s="69">
        <v>109</v>
      </c>
      <c r="H196" s="69">
        <v>109</v>
      </c>
      <c r="I196" s="69">
        <v>109</v>
      </c>
      <c r="J196" s="69">
        <v>109</v>
      </c>
      <c r="K196" s="69">
        <v>109</v>
      </c>
      <c r="L196" s="69">
        <v>109</v>
      </c>
      <c r="M196" s="69">
        <v>109</v>
      </c>
      <c r="N196" s="69">
        <v>109</v>
      </c>
      <c r="O196" s="69">
        <v>109</v>
      </c>
      <c r="P196" s="69">
        <v>109</v>
      </c>
      <c r="Q196" s="69">
        <v>109</v>
      </c>
      <c r="R196" s="69">
        <v>109</v>
      </c>
      <c r="S196" s="69">
        <v>109</v>
      </c>
      <c r="T196" s="69">
        <v>109</v>
      </c>
      <c r="V196" s="50"/>
      <c r="Y196" s="66"/>
      <c r="AE196" s="67"/>
      <c r="AF196" s="67"/>
      <c r="AG196" s="67"/>
      <c r="AJ196" s="70"/>
      <c r="AK196" s="70"/>
      <c r="AL196" s="70"/>
      <c r="AM196" s="70"/>
      <c r="AN196" s="70"/>
      <c r="AO196" s="70"/>
      <c r="AP196" s="70"/>
      <c r="AQ196" s="70"/>
      <c r="AR196" s="70"/>
      <c r="AS196" s="70"/>
    </row>
    <row r="197" spans="2:45" ht="14.1" customHeight="1">
      <c r="B197" s="23"/>
      <c r="C197" s="72">
        <f t="shared" si="2"/>
        <v>0.70871666666666455</v>
      </c>
      <c r="D197" s="16">
        <v>545</v>
      </c>
      <c r="E197" s="68">
        <v>110</v>
      </c>
      <c r="F197" s="68">
        <v>110</v>
      </c>
      <c r="G197" s="68">
        <v>110</v>
      </c>
      <c r="H197" s="68">
        <v>110</v>
      </c>
      <c r="I197" s="68">
        <v>110</v>
      </c>
      <c r="J197" s="68">
        <v>110</v>
      </c>
      <c r="K197" s="68">
        <v>110</v>
      </c>
      <c r="L197" s="68">
        <v>110</v>
      </c>
      <c r="M197" s="68">
        <v>110</v>
      </c>
      <c r="N197" s="68">
        <v>110</v>
      </c>
      <c r="O197" s="68">
        <v>110</v>
      </c>
      <c r="P197" s="68">
        <v>110</v>
      </c>
      <c r="Q197" s="68">
        <v>110</v>
      </c>
      <c r="R197" s="68">
        <v>110</v>
      </c>
      <c r="S197" s="68">
        <v>110</v>
      </c>
      <c r="T197" s="68">
        <v>110</v>
      </c>
      <c r="V197" s="50"/>
      <c r="Y197" s="66"/>
      <c r="AE197" s="67"/>
      <c r="AF197" s="67"/>
      <c r="AG197" s="67"/>
      <c r="AJ197" s="70"/>
      <c r="AK197" s="70"/>
      <c r="AL197" s="70"/>
      <c r="AM197" s="70"/>
      <c r="AN197" s="70"/>
      <c r="AO197" s="70"/>
      <c r="AP197" s="70"/>
      <c r="AQ197" s="70"/>
      <c r="AR197" s="70"/>
      <c r="AS197" s="70"/>
    </row>
    <row r="198" spans="2:45" ht="14.1" customHeight="1">
      <c r="B198" s="23"/>
      <c r="C198" s="72">
        <f t="shared" si="2"/>
        <v>0.71211666666666451</v>
      </c>
      <c r="D198" s="16">
        <v>550</v>
      </c>
      <c r="E198" s="68">
        <v>111</v>
      </c>
      <c r="F198" s="68">
        <v>111</v>
      </c>
      <c r="G198" s="68">
        <v>111</v>
      </c>
      <c r="H198" s="68">
        <v>111</v>
      </c>
      <c r="I198" s="68">
        <v>111</v>
      </c>
      <c r="J198" s="68">
        <v>111</v>
      </c>
      <c r="K198" s="68">
        <v>111</v>
      </c>
      <c r="L198" s="68">
        <v>111</v>
      </c>
      <c r="M198" s="68">
        <v>111</v>
      </c>
      <c r="N198" s="68">
        <v>111</v>
      </c>
      <c r="O198" s="68">
        <v>111</v>
      </c>
      <c r="P198" s="68">
        <v>111</v>
      </c>
      <c r="Q198" s="68">
        <v>111</v>
      </c>
      <c r="R198" s="68">
        <v>111</v>
      </c>
      <c r="S198" s="68">
        <v>111</v>
      </c>
      <c r="T198" s="68">
        <v>111</v>
      </c>
      <c r="V198" s="50"/>
      <c r="Y198" s="66"/>
      <c r="AE198" s="67"/>
      <c r="AF198" s="67"/>
      <c r="AG198" s="67"/>
      <c r="AJ198" s="70"/>
      <c r="AK198" s="70"/>
      <c r="AL198" s="70"/>
      <c r="AM198" s="70"/>
      <c r="AN198" s="70"/>
      <c r="AO198" s="70"/>
      <c r="AP198" s="70"/>
      <c r="AQ198" s="70"/>
      <c r="AR198" s="70"/>
      <c r="AS198" s="70"/>
    </row>
    <row r="199" spans="2:45" ht="14.1" customHeight="1">
      <c r="B199" s="23"/>
      <c r="C199" s="72">
        <f t="shared" si="2"/>
        <v>0.71551666666666447</v>
      </c>
      <c r="D199" s="16">
        <v>555</v>
      </c>
      <c r="E199" s="68">
        <v>112</v>
      </c>
      <c r="F199" s="68">
        <v>112</v>
      </c>
      <c r="G199" s="68">
        <v>112</v>
      </c>
      <c r="H199" s="68">
        <v>112</v>
      </c>
      <c r="I199" s="68">
        <v>112</v>
      </c>
      <c r="J199" s="68">
        <v>112</v>
      </c>
      <c r="K199" s="68">
        <v>112</v>
      </c>
      <c r="L199" s="68">
        <v>112</v>
      </c>
      <c r="M199" s="68">
        <v>112</v>
      </c>
      <c r="N199" s="68">
        <v>112</v>
      </c>
      <c r="O199" s="68">
        <v>112</v>
      </c>
      <c r="P199" s="68">
        <v>112</v>
      </c>
      <c r="Q199" s="68">
        <v>112</v>
      </c>
      <c r="R199" s="68">
        <v>112</v>
      </c>
      <c r="S199" s="68">
        <v>112</v>
      </c>
      <c r="T199" s="68">
        <v>112</v>
      </c>
      <c r="V199" s="50"/>
      <c r="Y199" s="66"/>
      <c r="AE199" s="67"/>
      <c r="AF199" s="67"/>
      <c r="AG199" s="67"/>
      <c r="AJ199" s="70"/>
      <c r="AK199" s="70"/>
      <c r="AL199" s="70"/>
      <c r="AM199" s="70"/>
      <c r="AN199" s="70"/>
      <c r="AO199" s="70"/>
      <c r="AP199" s="70"/>
      <c r="AQ199" s="70"/>
      <c r="AR199" s="70"/>
      <c r="AS199" s="70"/>
    </row>
    <row r="200" spans="2:45" ht="14.1" customHeight="1">
      <c r="B200" s="23"/>
      <c r="C200" s="72">
        <f t="shared" si="2"/>
        <v>0.71891666666666443</v>
      </c>
      <c r="D200" s="16">
        <v>560</v>
      </c>
      <c r="E200" s="68">
        <v>113</v>
      </c>
      <c r="F200" s="68">
        <v>113</v>
      </c>
      <c r="G200" s="68">
        <v>113</v>
      </c>
      <c r="H200" s="68">
        <v>113</v>
      </c>
      <c r="I200" s="68">
        <v>113</v>
      </c>
      <c r="J200" s="68">
        <v>113</v>
      </c>
      <c r="K200" s="68">
        <v>113</v>
      </c>
      <c r="L200" s="68">
        <v>113</v>
      </c>
      <c r="M200" s="68">
        <v>113</v>
      </c>
      <c r="N200" s="68">
        <v>113</v>
      </c>
      <c r="O200" s="68">
        <v>113</v>
      </c>
      <c r="P200" s="68">
        <v>113</v>
      </c>
      <c r="Q200" s="68">
        <v>113</v>
      </c>
      <c r="R200" s="68">
        <v>113</v>
      </c>
      <c r="S200" s="68">
        <v>113</v>
      </c>
      <c r="T200" s="68">
        <v>113</v>
      </c>
      <c r="V200" s="50"/>
      <c r="Y200" s="66"/>
      <c r="AE200" s="67"/>
      <c r="AF200" s="67"/>
      <c r="AG200" s="67"/>
      <c r="AJ200" s="70"/>
      <c r="AK200" s="70"/>
      <c r="AL200" s="70"/>
      <c r="AM200" s="70"/>
      <c r="AN200" s="70"/>
      <c r="AO200" s="70"/>
      <c r="AP200" s="70"/>
      <c r="AQ200" s="70"/>
      <c r="AR200" s="70"/>
      <c r="AS200" s="70"/>
    </row>
    <row r="201" spans="2:45" ht="14.1" customHeight="1">
      <c r="B201" s="23"/>
      <c r="C201" s="72">
        <f t="shared" si="2"/>
        <v>0.72231666666666439</v>
      </c>
      <c r="D201" s="16">
        <v>565</v>
      </c>
      <c r="E201" s="68">
        <v>114</v>
      </c>
      <c r="F201" s="68">
        <v>114</v>
      </c>
      <c r="G201" s="68">
        <v>114</v>
      </c>
      <c r="H201" s="68">
        <v>114</v>
      </c>
      <c r="I201" s="68">
        <v>114</v>
      </c>
      <c r="J201" s="68">
        <v>114</v>
      </c>
      <c r="K201" s="68">
        <v>114</v>
      </c>
      <c r="L201" s="68">
        <v>114</v>
      </c>
      <c r="M201" s="68">
        <v>114</v>
      </c>
      <c r="N201" s="68">
        <v>114</v>
      </c>
      <c r="O201" s="68">
        <v>114</v>
      </c>
      <c r="P201" s="68">
        <v>114</v>
      </c>
      <c r="Q201" s="68">
        <v>114</v>
      </c>
      <c r="R201" s="68">
        <v>114</v>
      </c>
      <c r="S201" s="68">
        <v>114</v>
      </c>
      <c r="T201" s="68">
        <v>114</v>
      </c>
      <c r="V201" s="50"/>
      <c r="Y201" s="66"/>
      <c r="AE201" s="67"/>
      <c r="AF201" s="67"/>
      <c r="AG201" s="67"/>
      <c r="AJ201" s="70"/>
      <c r="AK201" s="70"/>
      <c r="AL201" s="70"/>
      <c r="AM201" s="70"/>
      <c r="AN201" s="70"/>
      <c r="AO201" s="70"/>
      <c r="AP201" s="70"/>
      <c r="AQ201" s="70"/>
      <c r="AR201" s="70"/>
      <c r="AS201" s="70"/>
    </row>
    <row r="202" spans="2:45" ht="14.1" customHeight="1">
      <c r="B202" s="23"/>
      <c r="C202" s="72">
        <f t="shared" si="2"/>
        <v>0.72571666666666435</v>
      </c>
      <c r="D202" s="71">
        <v>570</v>
      </c>
      <c r="E202" s="69">
        <v>115</v>
      </c>
      <c r="F202" s="69">
        <v>115</v>
      </c>
      <c r="G202" s="69">
        <v>115</v>
      </c>
      <c r="H202" s="69">
        <v>115</v>
      </c>
      <c r="I202" s="69">
        <v>115</v>
      </c>
      <c r="J202" s="69">
        <v>115</v>
      </c>
      <c r="K202" s="69">
        <v>115</v>
      </c>
      <c r="L202" s="69">
        <v>115</v>
      </c>
      <c r="M202" s="69">
        <v>115</v>
      </c>
      <c r="N202" s="69">
        <v>115</v>
      </c>
      <c r="O202" s="69">
        <v>115</v>
      </c>
      <c r="P202" s="69">
        <v>115</v>
      </c>
      <c r="Q202" s="69">
        <v>115</v>
      </c>
      <c r="R202" s="69">
        <v>115</v>
      </c>
      <c r="S202" s="69">
        <v>115</v>
      </c>
      <c r="T202" s="69">
        <v>115</v>
      </c>
      <c r="V202" s="50"/>
      <c r="Y202" s="66"/>
      <c r="AE202" s="67"/>
      <c r="AF202" s="67"/>
      <c r="AG202" s="67"/>
      <c r="AJ202" s="70"/>
      <c r="AK202" s="70"/>
      <c r="AL202" s="70"/>
      <c r="AM202" s="70"/>
      <c r="AN202" s="70"/>
      <c r="AO202" s="70"/>
      <c r="AP202" s="70"/>
      <c r="AQ202" s="70"/>
      <c r="AR202" s="70"/>
      <c r="AS202" s="70"/>
    </row>
    <row r="203" spans="2:45" ht="14.1" customHeight="1">
      <c r="B203" s="23"/>
      <c r="C203" s="72">
        <f t="shared" si="2"/>
        <v>0.7291166666666643</v>
      </c>
      <c r="D203" s="16">
        <v>575</v>
      </c>
      <c r="E203" s="68">
        <v>116</v>
      </c>
      <c r="F203" s="68">
        <v>116</v>
      </c>
      <c r="G203" s="68">
        <v>116</v>
      </c>
      <c r="H203" s="68">
        <v>116</v>
      </c>
      <c r="I203" s="68">
        <v>116</v>
      </c>
      <c r="J203" s="68">
        <v>116</v>
      </c>
      <c r="K203" s="68">
        <v>116</v>
      </c>
      <c r="L203" s="68">
        <v>116</v>
      </c>
      <c r="M203" s="68">
        <v>116</v>
      </c>
      <c r="N203" s="68">
        <v>116</v>
      </c>
      <c r="O203" s="68">
        <v>116</v>
      </c>
      <c r="P203" s="68">
        <v>116</v>
      </c>
      <c r="Q203" s="68">
        <v>116</v>
      </c>
      <c r="R203" s="68">
        <v>116</v>
      </c>
      <c r="S203" s="68">
        <v>116</v>
      </c>
      <c r="T203" s="68">
        <v>116</v>
      </c>
      <c r="V203" s="50"/>
      <c r="Y203" s="66"/>
      <c r="AE203" s="67"/>
      <c r="AF203" s="67"/>
      <c r="AG203" s="67"/>
      <c r="AJ203" s="70"/>
      <c r="AK203" s="70"/>
      <c r="AL203" s="70"/>
      <c r="AM203" s="70"/>
      <c r="AN203" s="70"/>
      <c r="AO203" s="70"/>
      <c r="AP203" s="70"/>
      <c r="AQ203" s="70"/>
      <c r="AR203" s="70"/>
      <c r="AS203" s="70"/>
    </row>
    <row r="204" spans="2:45" ht="14.1" customHeight="1">
      <c r="B204" s="23"/>
      <c r="C204" s="72">
        <f t="shared" si="2"/>
        <v>0.73251666666666426</v>
      </c>
      <c r="D204" s="16">
        <v>580</v>
      </c>
      <c r="E204" s="68">
        <v>117</v>
      </c>
      <c r="F204" s="68">
        <v>117</v>
      </c>
      <c r="G204" s="68">
        <v>117</v>
      </c>
      <c r="H204" s="68">
        <v>117</v>
      </c>
      <c r="I204" s="68">
        <v>117</v>
      </c>
      <c r="J204" s="68">
        <v>117</v>
      </c>
      <c r="K204" s="68">
        <v>117</v>
      </c>
      <c r="L204" s="68">
        <v>117</v>
      </c>
      <c r="M204" s="68">
        <v>117</v>
      </c>
      <c r="N204" s="68">
        <v>117</v>
      </c>
      <c r="O204" s="68">
        <v>117</v>
      </c>
      <c r="P204" s="68">
        <v>117</v>
      </c>
      <c r="Q204" s="68">
        <v>117</v>
      </c>
      <c r="R204" s="68">
        <v>117</v>
      </c>
      <c r="S204" s="68">
        <v>117</v>
      </c>
      <c r="T204" s="68">
        <v>117</v>
      </c>
      <c r="V204" s="50"/>
      <c r="Y204" s="66"/>
      <c r="AE204" s="67"/>
      <c r="AF204" s="67"/>
      <c r="AG204" s="67"/>
      <c r="AJ204" s="70"/>
      <c r="AK204" s="70"/>
      <c r="AL204" s="70"/>
      <c r="AM204" s="70"/>
      <c r="AN204" s="70"/>
      <c r="AO204" s="70"/>
      <c r="AP204" s="70"/>
      <c r="AQ204" s="70"/>
      <c r="AR204" s="70"/>
      <c r="AS204" s="70"/>
    </row>
    <row r="205" spans="2:45" ht="14.1" customHeight="1">
      <c r="B205" s="23"/>
      <c r="C205" s="72">
        <f t="shared" si="2"/>
        <v>0.73591666666666422</v>
      </c>
      <c r="D205" s="16">
        <v>585</v>
      </c>
      <c r="E205" s="68">
        <v>118</v>
      </c>
      <c r="F205" s="68">
        <v>118</v>
      </c>
      <c r="G205" s="68">
        <v>118</v>
      </c>
      <c r="H205" s="68">
        <v>118</v>
      </c>
      <c r="I205" s="68">
        <v>118</v>
      </c>
      <c r="J205" s="68">
        <v>118</v>
      </c>
      <c r="K205" s="68">
        <v>118</v>
      </c>
      <c r="L205" s="68">
        <v>118</v>
      </c>
      <c r="M205" s="68">
        <v>118</v>
      </c>
      <c r="N205" s="68">
        <v>118</v>
      </c>
      <c r="O205" s="68">
        <v>118</v>
      </c>
      <c r="P205" s="68">
        <v>118</v>
      </c>
      <c r="Q205" s="68">
        <v>118</v>
      </c>
      <c r="R205" s="68">
        <v>118</v>
      </c>
      <c r="S205" s="68">
        <v>118</v>
      </c>
      <c r="T205" s="68">
        <v>118</v>
      </c>
      <c r="V205" s="50"/>
      <c r="Y205" s="66"/>
      <c r="AE205" s="67"/>
      <c r="AF205" s="67"/>
      <c r="AG205" s="67"/>
      <c r="AJ205" s="70"/>
      <c r="AK205" s="70"/>
      <c r="AL205" s="70"/>
      <c r="AM205" s="70"/>
      <c r="AN205" s="70"/>
      <c r="AO205" s="70"/>
      <c r="AP205" s="70"/>
      <c r="AQ205" s="70"/>
      <c r="AR205" s="70"/>
      <c r="AS205" s="70"/>
    </row>
    <row r="206" spans="2:45" ht="14.1" customHeight="1">
      <c r="B206" s="23"/>
      <c r="C206" s="72">
        <f t="shared" si="2"/>
        <v>0.73931666666666418</v>
      </c>
      <c r="D206" s="16">
        <v>590</v>
      </c>
      <c r="E206" s="68">
        <v>119</v>
      </c>
      <c r="F206" s="68">
        <v>119</v>
      </c>
      <c r="G206" s="68">
        <v>119</v>
      </c>
      <c r="H206" s="68">
        <v>119</v>
      </c>
      <c r="I206" s="68">
        <v>119</v>
      </c>
      <c r="J206" s="68">
        <v>119</v>
      </c>
      <c r="K206" s="68">
        <v>119</v>
      </c>
      <c r="L206" s="68">
        <v>119</v>
      </c>
      <c r="M206" s="68">
        <v>119</v>
      </c>
      <c r="N206" s="68">
        <v>119</v>
      </c>
      <c r="O206" s="68">
        <v>119</v>
      </c>
      <c r="P206" s="68">
        <v>119</v>
      </c>
      <c r="Q206" s="68">
        <v>119</v>
      </c>
      <c r="R206" s="68">
        <v>119</v>
      </c>
      <c r="S206" s="68">
        <v>119</v>
      </c>
      <c r="T206" s="68">
        <v>119</v>
      </c>
      <c r="V206" s="50"/>
      <c r="Y206" s="66"/>
      <c r="AE206" s="67"/>
      <c r="AF206" s="67"/>
      <c r="AG206" s="67"/>
      <c r="AJ206" s="70"/>
      <c r="AK206" s="70"/>
      <c r="AL206" s="70"/>
      <c r="AM206" s="70"/>
      <c r="AN206" s="70"/>
      <c r="AO206" s="70"/>
      <c r="AP206" s="70"/>
      <c r="AQ206" s="70"/>
      <c r="AR206" s="70"/>
      <c r="AS206" s="70"/>
    </row>
    <row r="207" spans="2:45" ht="14.1" customHeight="1">
      <c r="B207" s="23"/>
      <c r="C207" s="72">
        <f t="shared" si="2"/>
        <v>0.74271666666666414</v>
      </c>
      <c r="D207" s="16">
        <v>595</v>
      </c>
      <c r="E207" s="68">
        <v>120</v>
      </c>
      <c r="F207" s="68">
        <v>120</v>
      </c>
      <c r="G207" s="68">
        <v>120</v>
      </c>
      <c r="H207" s="68">
        <v>120</v>
      </c>
      <c r="I207" s="68">
        <v>120</v>
      </c>
      <c r="J207" s="68">
        <v>120</v>
      </c>
      <c r="K207" s="68">
        <v>120</v>
      </c>
      <c r="L207" s="68">
        <v>120</v>
      </c>
      <c r="M207" s="68">
        <v>120</v>
      </c>
      <c r="N207" s="68">
        <v>120</v>
      </c>
      <c r="O207" s="68">
        <v>120</v>
      </c>
      <c r="P207" s="68">
        <v>120</v>
      </c>
      <c r="Q207" s="68">
        <v>120</v>
      </c>
      <c r="R207" s="68">
        <v>120</v>
      </c>
      <c r="S207" s="68">
        <v>120</v>
      </c>
      <c r="T207" s="68">
        <v>120</v>
      </c>
      <c r="V207" s="50"/>
      <c r="Y207" s="66"/>
      <c r="AE207" s="67"/>
      <c r="AF207" s="67"/>
      <c r="AG207" s="67"/>
      <c r="AJ207" s="70"/>
      <c r="AK207" s="70"/>
      <c r="AL207" s="70"/>
      <c r="AM207" s="70"/>
      <c r="AN207" s="70"/>
      <c r="AO207" s="70"/>
      <c r="AP207" s="70"/>
      <c r="AQ207" s="70"/>
      <c r="AR207" s="70"/>
      <c r="AS207" s="70"/>
    </row>
    <row r="208" spans="2:45" ht="14.1" customHeight="1">
      <c r="B208" s="23"/>
      <c r="C208" s="72">
        <f t="shared" si="2"/>
        <v>0.7461166666666641</v>
      </c>
      <c r="D208" s="65">
        <v>600</v>
      </c>
      <c r="E208" s="69">
        <v>121</v>
      </c>
      <c r="F208" s="69">
        <v>121</v>
      </c>
      <c r="G208" s="69">
        <v>121</v>
      </c>
      <c r="H208" s="69">
        <v>121</v>
      </c>
      <c r="I208" s="69">
        <v>121</v>
      </c>
      <c r="J208" s="69">
        <v>121</v>
      </c>
      <c r="K208" s="69">
        <v>121</v>
      </c>
      <c r="L208" s="69">
        <v>121</v>
      </c>
      <c r="M208" s="69">
        <v>121</v>
      </c>
      <c r="N208" s="69">
        <v>121</v>
      </c>
      <c r="O208" s="69">
        <v>121</v>
      </c>
      <c r="P208" s="69">
        <v>121</v>
      </c>
      <c r="Q208" s="69">
        <v>121</v>
      </c>
      <c r="R208" s="69">
        <v>121</v>
      </c>
      <c r="S208" s="69">
        <v>121</v>
      </c>
      <c r="T208" s="69">
        <v>121</v>
      </c>
      <c r="V208" s="50"/>
      <c r="Y208" s="66"/>
      <c r="AE208" s="67"/>
      <c r="AF208" s="67"/>
      <c r="AG208" s="67"/>
      <c r="AJ208" s="70"/>
      <c r="AK208" s="70"/>
      <c r="AL208" s="70"/>
      <c r="AM208" s="70"/>
      <c r="AN208" s="70"/>
      <c r="AO208" s="70"/>
      <c r="AP208" s="70"/>
      <c r="AQ208" s="70"/>
      <c r="AR208" s="70"/>
      <c r="AS208" s="70"/>
    </row>
    <row r="209" spans="2:45" ht="13.5" customHeight="1" thickBot="1">
      <c r="B209" s="23"/>
      <c r="C209" s="64"/>
      <c r="D209" s="66"/>
      <c r="E209" s="67"/>
      <c r="F209" s="67"/>
      <c r="G209" s="67"/>
      <c r="H209" s="67"/>
      <c r="I209" s="67"/>
      <c r="J209" s="67"/>
      <c r="K209" s="67"/>
      <c r="L209" s="67"/>
      <c r="V209" s="50"/>
      <c r="Y209" s="66"/>
      <c r="AE209" s="67"/>
      <c r="AF209" s="67"/>
      <c r="AG209" s="67"/>
      <c r="AJ209" s="70"/>
      <c r="AK209" s="70"/>
      <c r="AL209" s="70"/>
      <c r="AM209" s="70"/>
      <c r="AN209" s="70"/>
      <c r="AO209" s="70"/>
      <c r="AP209" s="70"/>
      <c r="AQ209" s="70"/>
      <c r="AR209" s="70"/>
      <c r="AS209" s="70"/>
    </row>
    <row r="210" spans="2:45" ht="18">
      <c r="B210" s="23"/>
      <c r="D210" s="66"/>
      <c r="I210" s="275" t="s">
        <v>55</v>
      </c>
      <c r="J210" s="275"/>
      <c r="K210" s="275"/>
      <c r="L210" s="275"/>
      <c r="M210" s="275"/>
      <c r="N210" s="275"/>
      <c r="O210" s="276"/>
      <c r="V210" s="50"/>
    </row>
    <row r="211" spans="2:45" ht="14.1" customHeight="1">
      <c r="B211" s="23"/>
      <c r="V211" s="50"/>
    </row>
    <row r="212" spans="2:45" ht="14.1" customHeight="1">
      <c r="B212" s="23"/>
      <c r="V212" s="50"/>
    </row>
    <row r="213" spans="2:45" ht="14.1" customHeight="1">
      <c r="B213" s="23"/>
      <c r="V213" s="50"/>
    </row>
    <row r="214" spans="2:45" ht="14.1" customHeight="1">
      <c r="B214" s="23"/>
      <c r="V214" s="50"/>
    </row>
    <row r="215" spans="2:45" ht="14.1" customHeight="1">
      <c r="B215" s="23"/>
      <c r="V215" s="50"/>
    </row>
    <row r="216" spans="2:45" ht="14.1" customHeight="1">
      <c r="B216" s="23"/>
      <c r="V216" s="50"/>
    </row>
    <row r="217" spans="2:45" ht="14.1" customHeight="1">
      <c r="B217" s="23"/>
      <c r="V217" s="50"/>
    </row>
    <row r="218" spans="2:45" ht="14.1" customHeight="1">
      <c r="B218" s="23"/>
      <c r="V218" s="50"/>
    </row>
    <row r="219" spans="2:45" ht="14.1" customHeight="1">
      <c r="B219" s="23"/>
      <c r="V219" s="50"/>
    </row>
    <row r="220" spans="2:45" ht="14.1" customHeight="1">
      <c r="B220" s="23"/>
      <c r="V220" s="50"/>
    </row>
    <row r="221" spans="2:45" ht="14.1" customHeight="1">
      <c r="B221" s="23"/>
      <c r="V221" s="50"/>
    </row>
    <row r="222" spans="2:45" ht="14.1" customHeight="1">
      <c r="B222" s="23"/>
      <c r="V222" s="50"/>
    </row>
    <row r="223" spans="2:45" ht="14.1" customHeight="1">
      <c r="B223" s="23"/>
      <c r="V223" s="50"/>
    </row>
    <row r="224" spans="2:45" ht="14.1" customHeight="1">
      <c r="B224" s="23"/>
      <c r="V224" s="50"/>
    </row>
    <row r="225" spans="2:37" ht="14.1" customHeight="1">
      <c r="B225" s="23"/>
      <c r="V225" s="50"/>
    </row>
    <row r="226" spans="2:37" ht="14.1" customHeight="1">
      <c r="B226" s="23"/>
      <c r="V226" s="50"/>
    </row>
    <row r="227" spans="2:37" ht="14.1" customHeight="1">
      <c r="B227" s="23"/>
      <c r="V227" s="50"/>
    </row>
    <row r="228" spans="2:37" ht="14.1" customHeight="1">
      <c r="B228" s="23"/>
      <c r="V228" s="50"/>
    </row>
    <row r="229" spans="2:37" ht="14.1" customHeight="1">
      <c r="B229" s="23"/>
      <c r="V229" s="50"/>
    </row>
    <row r="230" spans="2:37" ht="14.1" customHeight="1">
      <c r="B230" s="23"/>
      <c r="V230" s="50"/>
    </row>
    <row r="231" spans="2:37" ht="14.1" customHeight="1">
      <c r="B231" s="23"/>
      <c r="V231" s="50"/>
    </row>
    <row r="232" spans="2:37" ht="18">
      <c r="B232" s="289" t="s">
        <v>51</v>
      </c>
      <c r="C232" s="290"/>
      <c r="D232" s="290"/>
      <c r="E232" s="290"/>
      <c r="F232" s="290"/>
      <c r="G232" s="290"/>
      <c r="H232" s="290"/>
      <c r="I232" s="290"/>
      <c r="J232" s="290"/>
      <c r="K232" s="290"/>
      <c r="L232" s="290"/>
      <c r="M232" s="290"/>
      <c r="N232" s="290"/>
      <c r="O232" s="290"/>
      <c r="P232" s="290"/>
      <c r="Q232" s="290"/>
      <c r="R232" s="290"/>
      <c r="S232" s="290"/>
      <c r="T232" s="290"/>
      <c r="U232" s="290"/>
      <c r="V232" s="291"/>
    </row>
    <row r="233" spans="2:37" ht="14.1" customHeight="1">
      <c r="B233" s="98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96"/>
    </row>
    <row r="234" spans="2:37" ht="18">
      <c r="B234" s="98"/>
      <c r="C234" s="77"/>
      <c r="D234" s="77"/>
      <c r="E234" s="77"/>
      <c r="F234" s="77"/>
      <c r="G234" s="77"/>
      <c r="H234" s="77"/>
      <c r="I234" s="77"/>
      <c r="J234" s="316" t="s">
        <v>17</v>
      </c>
      <c r="K234" s="316"/>
      <c r="L234" s="316"/>
      <c r="M234" s="316"/>
      <c r="N234" s="316"/>
      <c r="O234" s="77"/>
      <c r="P234" s="77"/>
      <c r="Q234" s="77"/>
      <c r="R234" s="77"/>
      <c r="S234" s="77"/>
      <c r="T234" s="77"/>
      <c r="U234" s="77"/>
      <c r="V234" s="96"/>
    </row>
    <row r="235" spans="2:37" ht="18">
      <c r="B235" s="98"/>
      <c r="C235" s="77"/>
      <c r="D235" s="77"/>
      <c r="E235" s="77"/>
      <c r="F235" s="77"/>
      <c r="G235" s="77"/>
      <c r="H235" s="77"/>
      <c r="I235" s="77"/>
      <c r="J235" s="105" t="s">
        <v>15</v>
      </c>
      <c r="K235" s="316" t="s">
        <v>1</v>
      </c>
      <c r="L235" s="316"/>
      <c r="M235" s="316"/>
      <c r="N235" s="105" t="s">
        <v>16</v>
      </c>
      <c r="O235" s="77"/>
      <c r="P235" s="77"/>
      <c r="Q235" s="77"/>
      <c r="R235" s="77"/>
      <c r="S235" s="77"/>
      <c r="T235" s="77"/>
      <c r="U235" s="77"/>
      <c r="V235" s="96"/>
    </row>
    <row r="236" spans="2:37" ht="18">
      <c r="B236" s="98"/>
      <c r="C236" s="77"/>
      <c r="D236" s="77"/>
      <c r="E236" s="77"/>
      <c r="F236" s="77"/>
      <c r="G236" s="77"/>
      <c r="H236" s="77"/>
      <c r="I236" s="77"/>
      <c r="J236" s="138">
        <v>1.49</v>
      </c>
      <c r="K236" s="270">
        <f>INT(J236)*60+(J236-INT(J236))*100</f>
        <v>109</v>
      </c>
      <c r="L236" s="270"/>
      <c r="M236" s="270"/>
      <c r="N236" s="139">
        <v>3.1930000000000001</v>
      </c>
      <c r="O236" s="77"/>
      <c r="P236" s="77"/>
      <c r="Q236" s="77"/>
      <c r="R236" s="77"/>
      <c r="S236" s="77"/>
      <c r="T236" s="77"/>
      <c r="U236" s="77"/>
      <c r="V236" s="96"/>
      <c r="AD236" s="175" t="s">
        <v>11</v>
      </c>
      <c r="AE236" s="176"/>
      <c r="AF236" s="176"/>
      <c r="AG236" s="176"/>
      <c r="AH236" s="176"/>
      <c r="AI236" s="176"/>
      <c r="AJ236" s="177"/>
      <c r="AK236" s="177"/>
    </row>
    <row r="237" spans="2:37" ht="18">
      <c r="B237" s="98"/>
      <c r="C237" s="77"/>
      <c r="D237" s="77"/>
      <c r="E237" s="77"/>
      <c r="F237" s="77"/>
      <c r="G237" s="77"/>
      <c r="H237" s="77"/>
      <c r="I237" s="77"/>
      <c r="J237" s="138">
        <v>1.57</v>
      </c>
      <c r="K237" s="270">
        <f t="shared" ref="K237:K250" si="3">INT(J237)*60+(J237-INT(J237))*100</f>
        <v>117</v>
      </c>
      <c r="L237" s="270"/>
      <c r="M237" s="270"/>
      <c r="N237" s="139">
        <v>3.19</v>
      </c>
      <c r="O237" s="77"/>
      <c r="P237" s="77"/>
      <c r="Q237" s="77"/>
      <c r="R237" s="77"/>
      <c r="S237" s="77"/>
      <c r="T237" s="77"/>
      <c r="U237" s="77"/>
      <c r="V237" s="96"/>
    </row>
    <row r="238" spans="2:37" ht="18">
      <c r="B238" s="98"/>
      <c r="C238" s="77"/>
      <c r="D238" s="77"/>
      <c r="E238" s="77"/>
      <c r="F238" s="77"/>
      <c r="G238" s="77"/>
      <c r="H238" s="77"/>
      <c r="I238" s="77"/>
      <c r="J238" s="138">
        <v>2.04</v>
      </c>
      <c r="K238" s="270">
        <f t="shared" si="3"/>
        <v>124</v>
      </c>
      <c r="L238" s="270"/>
      <c r="M238" s="270"/>
      <c r="N238" s="139">
        <v>3.1869999999999998</v>
      </c>
      <c r="O238" s="77"/>
      <c r="P238" s="77"/>
      <c r="Q238" s="77"/>
      <c r="R238" s="77"/>
      <c r="S238" s="77"/>
      <c r="T238" s="77"/>
      <c r="U238" s="77"/>
      <c r="V238" s="96"/>
    </row>
    <row r="239" spans="2:37" ht="18">
      <c r="B239" s="98"/>
      <c r="C239" s="77"/>
      <c r="D239" s="77"/>
      <c r="E239" s="77"/>
      <c r="F239" s="77"/>
      <c r="G239" s="77"/>
      <c r="H239" s="77"/>
      <c r="I239" s="77"/>
      <c r="J239" s="138">
        <v>2.14</v>
      </c>
      <c r="K239" s="270">
        <f t="shared" si="3"/>
        <v>134</v>
      </c>
      <c r="L239" s="270"/>
      <c r="M239" s="270"/>
      <c r="N239" s="139">
        <v>3.1840000000000002</v>
      </c>
      <c r="O239" s="77"/>
      <c r="P239" s="77"/>
      <c r="Q239" s="77"/>
      <c r="R239" s="77"/>
      <c r="S239" s="77"/>
      <c r="T239" s="77"/>
      <c r="U239" s="77"/>
      <c r="V239" s="96"/>
    </row>
    <row r="240" spans="2:37" ht="18">
      <c r="B240" s="98"/>
      <c r="C240" s="77"/>
      <c r="D240" s="77"/>
      <c r="E240" s="77"/>
      <c r="F240" s="77"/>
      <c r="G240" s="77"/>
      <c r="H240" s="77"/>
      <c r="I240" s="77"/>
      <c r="J240" s="138">
        <v>2.2200000000000002</v>
      </c>
      <c r="K240" s="270">
        <f t="shared" si="3"/>
        <v>142.00000000000003</v>
      </c>
      <c r="L240" s="270"/>
      <c r="M240" s="270"/>
      <c r="N240" s="139">
        <v>3.181</v>
      </c>
      <c r="O240" s="77"/>
      <c r="P240" s="77"/>
      <c r="Q240" s="77"/>
      <c r="R240" s="77"/>
      <c r="S240" s="77"/>
      <c r="T240" s="77"/>
      <c r="U240" s="77"/>
      <c r="V240" s="96"/>
    </row>
    <row r="241" spans="2:22" ht="13.5" customHeight="1">
      <c r="B241" s="98"/>
      <c r="C241" s="77"/>
      <c r="D241" s="77"/>
      <c r="E241" s="77"/>
      <c r="F241" s="77"/>
      <c r="G241" s="77"/>
      <c r="H241" s="77"/>
      <c r="I241" s="77"/>
      <c r="J241" s="138">
        <v>2.29</v>
      </c>
      <c r="K241" s="270">
        <f t="shared" si="3"/>
        <v>149</v>
      </c>
      <c r="L241" s="270"/>
      <c r="M241" s="270"/>
      <c r="N241" s="139">
        <v>3.1779999999999999</v>
      </c>
      <c r="O241" s="77"/>
      <c r="P241" s="77"/>
      <c r="Q241" s="77"/>
      <c r="R241" s="77"/>
      <c r="S241" s="77"/>
      <c r="T241" s="77"/>
      <c r="U241" s="77"/>
      <c r="V241" s="96"/>
    </row>
    <row r="242" spans="2:22" ht="18">
      <c r="B242" s="98"/>
      <c r="C242" s="77"/>
      <c r="D242" s="77"/>
      <c r="E242" s="77"/>
      <c r="F242" s="77"/>
      <c r="G242" s="77"/>
      <c r="H242" s="77"/>
      <c r="I242" s="77"/>
      <c r="J242" s="138">
        <v>2.38</v>
      </c>
      <c r="K242" s="270">
        <f t="shared" si="3"/>
        <v>158</v>
      </c>
      <c r="L242" s="270"/>
      <c r="M242" s="270"/>
      <c r="N242" s="139">
        <v>3.1749999999999998</v>
      </c>
      <c r="O242" s="77"/>
      <c r="P242" s="77"/>
      <c r="Q242" s="77"/>
      <c r="R242" s="77"/>
      <c r="S242" s="77"/>
      <c r="T242" s="77"/>
      <c r="U242" s="77"/>
      <c r="V242" s="96"/>
    </row>
    <row r="243" spans="2:22" ht="18">
      <c r="B243" s="98"/>
      <c r="C243" s="77"/>
      <c r="D243" s="77"/>
      <c r="E243" s="77"/>
      <c r="F243" s="77"/>
      <c r="G243" s="77"/>
      <c r="H243" s="77"/>
      <c r="I243" s="77"/>
      <c r="J243" s="138">
        <v>2.46</v>
      </c>
      <c r="K243" s="270">
        <f t="shared" si="3"/>
        <v>166</v>
      </c>
      <c r="L243" s="270"/>
      <c r="M243" s="270"/>
      <c r="N243" s="139">
        <v>3.1720000000000002</v>
      </c>
      <c r="O243" s="77"/>
      <c r="P243" s="77"/>
      <c r="Q243" s="77"/>
      <c r="R243" s="77"/>
      <c r="S243" s="77"/>
      <c r="T243" s="77"/>
      <c r="U243" s="77"/>
      <c r="V243" s="96"/>
    </row>
    <row r="244" spans="2:22" ht="18">
      <c r="B244" s="98"/>
      <c r="C244" s="77"/>
      <c r="D244" s="77"/>
      <c r="E244" s="77"/>
      <c r="F244" s="77"/>
      <c r="G244" s="77"/>
      <c r="H244" s="77"/>
      <c r="I244" s="77"/>
      <c r="J244" s="138">
        <v>2.57</v>
      </c>
      <c r="K244" s="270">
        <f t="shared" si="3"/>
        <v>177</v>
      </c>
      <c r="L244" s="270"/>
      <c r="M244" s="270"/>
      <c r="N244" s="139">
        <v>3.169</v>
      </c>
      <c r="O244" s="77"/>
      <c r="P244" s="77"/>
      <c r="Q244" s="77"/>
      <c r="R244" s="77"/>
      <c r="S244" s="77"/>
      <c r="T244" s="77"/>
      <c r="U244" s="77"/>
      <c r="V244" s="96"/>
    </row>
    <row r="245" spans="2:22" ht="18">
      <c r="B245" s="98"/>
      <c r="C245" s="77"/>
      <c r="D245" s="77"/>
      <c r="E245" s="77"/>
      <c r="F245" s="77"/>
      <c r="G245" s="77"/>
      <c r="H245" s="77"/>
      <c r="I245" s="77"/>
      <c r="J245" s="138">
        <v>3.09</v>
      </c>
      <c r="K245" s="270">
        <f t="shared" si="3"/>
        <v>189</v>
      </c>
      <c r="L245" s="270"/>
      <c r="M245" s="270"/>
      <c r="N245" s="139">
        <v>3.1659999999999999</v>
      </c>
      <c r="O245" s="77"/>
      <c r="P245" s="77"/>
      <c r="Q245" s="77"/>
      <c r="R245" s="77"/>
      <c r="S245" s="77"/>
      <c r="T245" s="77"/>
      <c r="U245" s="77"/>
      <c r="V245" s="96"/>
    </row>
    <row r="246" spans="2:22" ht="18">
      <c r="B246" s="98"/>
      <c r="C246" s="77"/>
      <c r="D246" s="77"/>
      <c r="E246" s="77"/>
      <c r="F246" s="77"/>
      <c r="G246" s="77"/>
      <c r="H246" s="77"/>
      <c r="I246" s="77"/>
      <c r="J246" s="138">
        <v>3.14</v>
      </c>
      <c r="K246" s="270">
        <f t="shared" si="3"/>
        <v>194</v>
      </c>
      <c r="L246" s="270"/>
      <c r="M246" s="270"/>
      <c r="N246" s="139">
        <v>3.1629999999999998</v>
      </c>
      <c r="O246" s="77"/>
      <c r="P246" s="77"/>
      <c r="Q246" s="77"/>
      <c r="R246" s="77"/>
      <c r="S246" s="77"/>
      <c r="T246" s="77"/>
      <c r="U246" s="77"/>
      <c r="V246" s="96"/>
    </row>
    <row r="247" spans="2:22" ht="18">
      <c r="B247" s="98"/>
      <c r="C247" s="77"/>
      <c r="D247" s="77"/>
      <c r="E247" s="77"/>
      <c r="F247" s="77"/>
      <c r="G247" s="77"/>
      <c r="H247" s="77"/>
      <c r="I247" s="77"/>
      <c r="J247" s="138">
        <v>3.24</v>
      </c>
      <c r="K247" s="270">
        <f t="shared" si="3"/>
        <v>204.00000000000003</v>
      </c>
      <c r="L247" s="270"/>
      <c r="M247" s="270"/>
      <c r="N247" s="139">
        <v>3.16</v>
      </c>
      <c r="O247" s="77"/>
      <c r="P247" s="77"/>
      <c r="Q247" s="77"/>
      <c r="R247" s="77"/>
      <c r="S247" s="77"/>
      <c r="T247" s="77"/>
      <c r="U247" s="77"/>
      <c r="V247" s="96"/>
    </row>
    <row r="248" spans="2:22" ht="18">
      <c r="B248" s="98"/>
      <c r="C248" s="77"/>
      <c r="D248" s="77"/>
      <c r="E248" s="77"/>
      <c r="F248" s="77"/>
      <c r="G248" s="77"/>
      <c r="H248" s="77"/>
      <c r="I248" s="77"/>
      <c r="J248" s="138">
        <v>3.33</v>
      </c>
      <c r="K248" s="270">
        <f t="shared" si="3"/>
        <v>213</v>
      </c>
      <c r="L248" s="270"/>
      <c r="M248" s="270"/>
      <c r="N248" s="139">
        <v>3.157</v>
      </c>
      <c r="O248" s="77"/>
      <c r="P248" s="77"/>
      <c r="Q248" s="77"/>
      <c r="R248" s="77"/>
      <c r="S248" s="77"/>
      <c r="T248" s="77"/>
      <c r="U248" s="77"/>
      <c r="V248" s="96"/>
    </row>
    <row r="249" spans="2:22" ht="14.1" customHeight="1">
      <c r="B249" s="98"/>
      <c r="C249" s="77"/>
      <c r="D249" s="77"/>
      <c r="E249" s="77"/>
      <c r="F249" s="77"/>
      <c r="G249" s="77"/>
      <c r="H249" s="77"/>
      <c r="I249" s="77"/>
      <c r="J249" s="138">
        <v>3.42</v>
      </c>
      <c r="K249" s="270">
        <f t="shared" si="3"/>
        <v>222</v>
      </c>
      <c r="L249" s="270"/>
      <c r="M249" s="270"/>
      <c r="N249" s="139">
        <v>3.1539999999999999</v>
      </c>
      <c r="O249" s="77"/>
      <c r="P249" s="77"/>
      <c r="Q249" s="77"/>
      <c r="R249" s="77"/>
      <c r="S249" s="77"/>
      <c r="T249" s="77"/>
      <c r="U249" s="77"/>
      <c r="V249" s="96"/>
    </row>
    <row r="250" spans="2:22" ht="18">
      <c r="B250" s="98"/>
      <c r="C250" s="77"/>
      <c r="D250" s="77"/>
      <c r="E250" s="77"/>
      <c r="F250" s="77"/>
      <c r="G250" s="77"/>
      <c r="H250" s="77"/>
      <c r="I250" s="77"/>
      <c r="J250" s="138">
        <v>3.51</v>
      </c>
      <c r="K250" s="270">
        <f t="shared" si="3"/>
        <v>230.99999999999997</v>
      </c>
      <c r="L250" s="270"/>
      <c r="M250" s="270"/>
      <c r="N250" s="139">
        <v>3.1509999999999998</v>
      </c>
      <c r="O250" s="77"/>
      <c r="P250" s="77"/>
      <c r="Q250" s="77"/>
      <c r="R250" s="77"/>
      <c r="S250" s="77"/>
      <c r="T250" s="77"/>
      <c r="U250" s="77"/>
      <c r="V250" s="96"/>
    </row>
    <row r="251" spans="2:22" ht="14.1" customHeight="1" thickBot="1">
      <c r="B251" s="98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96"/>
    </row>
    <row r="252" spans="2:22" ht="18">
      <c r="B252" s="98"/>
      <c r="C252" s="77"/>
      <c r="D252" s="77"/>
      <c r="E252" s="77"/>
      <c r="F252" s="77"/>
      <c r="G252" s="77"/>
      <c r="H252" s="77"/>
      <c r="I252" s="288" t="s">
        <v>91</v>
      </c>
      <c r="J252" s="275"/>
      <c r="K252" s="275"/>
      <c r="L252" s="275"/>
      <c r="M252" s="275"/>
      <c r="N252" s="275"/>
      <c r="O252" s="276"/>
      <c r="P252" s="77"/>
      <c r="Q252" s="77"/>
      <c r="R252" s="77"/>
      <c r="S252" s="77"/>
      <c r="T252" s="77"/>
      <c r="U252" s="77"/>
      <c r="V252" s="96"/>
    </row>
    <row r="253" spans="2:22" ht="14.1" customHeight="1">
      <c r="B253" s="23"/>
      <c r="V253" s="50"/>
    </row>
    <row r="254" spans="2:22" ht="14.1" customHeight="1">
      <c r="B254" s="23"/>
      <c r="V254" s="50"/>
    </row>
    <row r="255" spans="2:22" ht="14.1" customHeight="1">
      <c r="B255" s="23"/>
      <c r="V255" s="50"/>
    </row>
    <row r="256" spans="2:22" ht="14.1" customHeight="1">
      <c r="B256" s="23"/>
      <c r="V256" s="50"/>
    </row>
    <row r="257" spans="2:22" ht="14.1" customHeight="1">
      <c r="B257" s="23"/>
      <c r="V257" s="50"/>
    </row>
    <row r="258" spans="2:22" ht="14.1" customHeight="1">
      <c r="B258" s="23"/>
      <c r="V258" s="50"/>
    </row>
    <row r="259" spans="2:22" ht="14.1" customHeight="1">
      <c r="B259" s="23"/>
      <c r="V259" s="50"/>
    </row>
    <row r="260" spans="2:22" ht="14.1" customHeight="1">
      <c r="B260" s="23"/>
      <c r="V260" s="50"/>
    </row>
    <row r="261" spans="2:22" ht="14.1" customHeight="1">
      <c r="B261" s="23"/>
      <c r="V261" s="50"/>
    </row>
    <row r="262" spans="2:22" ht="14.1" customHeight="1">
      <c r="B262" s="23"/>
      <c r="V262" s="50"/>
    </row>
    <row r="263" spans="2:22" ht="14.1" customHeight="1">
      <c r="B263" s="23"/>
      <c r="V263" s="50"/>
    </row>
    <row r="264" spans="2:22" ht="18">
      <c r="B264" s="289" t="s">
        <v>52</v>
      </c>
      <c r="C264" s="290"/>
      <c r="D264" s="290"/>
      <c r="E264" s="290"/>
      <c r="F264" s="290"/>
      <c r="G264" s="290"/>
      <c r="H264" s="290"/>
      <c r="I264" s="290"/>
      <c r="J264" s="290"/>
      <c r="K264" s="290"/>
      <c r="L264" s="290"/>
      <c r="M264" s="290"/>
      <c r="N264" s="290"/>
      <c r="O264" s="290"/>
      <c r="P264" s="290"/>
      <c r="Q264" s="290"/>
      <c r="R264" s="290"/>
      <c r="S264" s="290"/>
      <c r="T264" s="290"/>
      <c r="U264" s="290"/>
      <c r="V264" s="291"/>
    </row>
    <row r="265" spans="2:22" ht="14.1" customHeight="1" thickBot="1">
      <c r="B265" s="98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96"/>
    </row>
    <row r="266" spans="2:22" ht="18">
      <c r="B266" s="98"/>
      <c r="C266" s="77"/>
      <c r="D266" s="77"/>
      <c r="E266" s="77"/>
      <c r="F266" s="77"/>
      <c r="G266" s="274" t="s">
        <v>69</v>
      </c>
      <c r="H266" s="275"/>
      <c r="I266" s="275"/>
      <c r="J266" s="275"/>
      <c r="K266" s="275"/>
      <c r="L266" s="275"/>
      <c r="M266" s="275"/>
      <c r="N266" s="275"/>
      <c r="O266" s="275"/>
      <c r="P266" s="275"/>
      <c r="Q266" s="276"/>
      <c r="R266" s="77"/>
      <c r="S266" s="77"/>
      <c r="T266" s="77"/>
      <c r="U266" s="77"/>
      <c r="V266" s="96"/>
    </row>
    <row r="267" spans="2:22" ht="18">
      <c r="B267" s="98"/>
      <c r="C267" s="77"/>
      <c r="D267" s="77"/>
      <c r="E267" s="77"/>
      <c r="F267" s="77"/>
      <c r="G267" s="271" t="s">
        <v>59</v>
      </c>
      <c r="H267" s="272"/>
      <c r="I267" s="272"/>
      <c r="J267" s="273"/>
      <c r="K267" s="314" t="s">
        <v>78</v>
      </c>
      <c r="L267" s="272"/>
      <c r="M267" s="272"/>
      <c r="N267" s="272"/>
      <c r="O267" s="272"/>
      <c r="P267" s="272"/>
      <c r="Q267" s="315"/>
      <c r="R267" s="77"/>
      <c r="S267" s="77"/>
      <c r="T267" s="77"/>
      <c r="U267" s="77"/>
      <c r="V267" s="96"/>
    </row>
    <row r="268" spans="2:22" ht="18">
      <c r="B268" s="98"/>
      <c r="C268" s="77"/>
      <c r="D268" s="77"/>
      <c r="E268" s="77"/>
      <c r="F268" s="77"/>
      <c r="G268" s="80"/>
      <c r="H268" s="81"/>
      <c r="I268" s="81"/>
      <c r="J268" s="106"/>
      <c r="K268" s="107"/>
      <c r="L268" s="81"/>
      <c r="M268" s="81"/>
      <c r="N268" s="81"/>
      <c r="O268" s="81"/>
      <c r="P268" s="81"/>
      <c r="Q268" s="108"/>
      <c r="R268" s="77"/>
      <c r="S268" s="77"/>
      <c r="T268" s="77"/>
      <c r="U268" s="77"/>
      <c r="V268" s="96"/>
    </row>
    <row r="269" spans="2:22" ht="14.1" customHeight="1">
      <c r="B269" s="98"/>
      <c r="C269" s="77"/>
      <c r="D269" s="77"/>
      <c r="E269" s="77"/>
      <c r="F269" s="77"/>
      <c r="G269" s="98"/>
      <c r="H269" s="77"/>
      <c r="I269" s="77"/>
      <c r="J269" s="109"/>
      <c r="K269" s="292" t="s">
        <v>83</v>
      </c>
      <c r="L269" s="300"/>
      <c r="M269" s="300"/>
      <c r="N269" s="300"/>
      <c r="O269" s="300"/>
      <c r="P269" s="110">
        <f>N34</f>
        <v>2.444</v>
      </c>
      <c r="Q269" s="111" t="s">
        <v>61</v>
      </c>
      <c r="R269" s="77"/>
      <c r="S269" s="77"/>
      <c r="T269" s="77"/>
      <c r="U269" s="77"/>
      <c r="V269" s="96"/>
    </row>
    <row r="270" spans="2:22" ht="18">
      <c r="B270" s="98"/>
      <c r="C270" s="77"/>
      <c r="D270" s="77"/>
      <c r="E270" s="77"/>
      <c r="F270" s="77"/>
      <c r="G270" s="98"/>
      <c r="H270" s="77"/>
      <c r="I270" s="77"/>
      <c r="J270" s="109"/>
      <c r="K270" s="292" t="s">
        <v>64</v>
      </c>
      <c r="L270" s="300"/>
      <c r="M270" s="300"/>
      <c r="N270" s="300"/>
      <c r="O270" s="300"/>
      <c r="P270" s="110">
        <f>N36</f>
        <v>21.5</v>
      </c>
      <c r="Q270" s="111" t="s">
        <v>62</v>
      </c>
      <c r="R270" s="77"/>
      <c r="S270" s="77"/>
      <c r="T270" s="77"/>
      <c r="U270" s="77"/>
      <c r="V270" s="96"/>
    </row>
    <row r="271" spans="2:22" ht="18">
      <c r="B271" s="98"/>
      <c r="C271" s="77"/>
      <c r="D271" s="77"/>
      <c r="E271" s="77"/>
      <c r="F271" s="77"/>
      <c r="G271" s="98"/>
      <c r="H271" s="77"/>
      <c r="I271" s="77"/>
      <c r="J271" s="109"/>
      <c r="K271" s="292" t="s">
        <v>104</v>
      </c>
      <c r="L271" s="300"/>
      <c r="M271" s="300"/>
      <c r="N271" s="300"/>
      <c r="O271" s="300"/>
      <c r="P271" s="140">
        <v>3.2290000000000001</v>
      </c>
      <c r="Q271" s="111" t="str">
        <f>Q269</f>
        <v>mΩ</v>
      </c>
      <c r="R271" s="77"/>
      <c r="S271" s="77"/>
      <c r="T271" s="77"/>
      <c r="U271" s="77"/>
      <c r="V271" s="96"/>
    </row>
    <row r="272" spans="2:22" ht="18.75" thickBot="1">
      <c r="B272" s="98"/>
      <c r="C272" s="77"/>
      <c r="D272" s="77"/>
      <c r="E272" s="77"/>
      <c r="F272" s="77"/>
      <c r="G272" s="112"/>
      <c r="H272" s="113"/>
      <c r="I272" s="113"/>
      <c r="J272" s="114"/>
      <c r="K272" s="277"/>
      <c r="L272" s="278"/>
      <c r="M272" s="278"/>
      <c r="N272" s="278"/>
      <c r="O272" s="278"/>
      <c r="P272" s="115"/>
      <c r="Q272" s="116"/>
      <c r="R272" s="77"/>
      <c r="S272" s="77"/>
      <c r="T272" s="77"/>
      <c r="U272" s="77"/>
      <c r="V272" s="96"/>
    </row>
    <row r="273" spans="2:31" ht="18">
      <c r="B273" s="98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96"/>
    </row>
    <row r="274" spans="2:31" ht="18">
      <c r="B274" s="98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117" t="s">
        <v>92</v>
      </c>
      <c r="P274" s="118">
        <f>((P271/N34)*(N36+BH27))-BH27</f>
        <v>100.67450900163669</v>
      </c>
      <c r="Q274" s="119" t="str">
        <f>Q270</f>
        <v xml:space="preserve"> °C</v>
      </c>
      <c r="R274" s="77"/>
      <c r="S274" s="77"/>
      <c r="T274" s="77"/>
      <c r="U274" s="77"/>
      <c r="V274" s="96"/>
    </row>
    <row r="275" spans="2:31" ht="18.75" thickBot="1">
      <c r="B275" s="98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96"/>
    </row>
    <row r="276" spans="2:31" ht="18.75">
      <c r="B276" s="98"/>
      <c r="C276" s="77"/>
      <c r="D276" s="77"/>
      <c r="E276" s="77"/>
      <c r="F276" s="77"/>
      <c r="G276" s="279" t="s">
        <v>63</v>
      </c>
      <c r="H276" s="280"/>
      <c r="I276" s="280"/>
      <c r="J276" s="280"/>
      <c r="K276" s="280"/>
      <c r="L276" s="280"/>
      <c r="M276" s="280"/>
      <c r="N276" s="280"/>
      <c r="O276" s="280"/>
      <c r="P276" s="280"/>
      <c r="Q276" s="281"/>
      <c r="R276" s="77"/>
      <c r="S276" s="77"/>
      <c r="T276" s="77"/>
      <c r="U276" s="77"/>
      <c r="V276" s="96"/>
    </row>
    <row r="277" spans="2:31" ht="18.75">
      <c r="B277" s="98"/>
      <c r="C277" s="77"/>
      <c r="D277" s="77"/>
      <c r="E277" s="77"/>
      <c r="F277" s="77"/>
      <c r="G277" s="282" t="s">
        <v>59</v>
      </c>
      <c r="H277" s="283"/>
      <c r="I277" s="283"/>
      <c r="J277" s="283"/>
      <c r="K277" s="284" t="s">
        <v>78</v>
      </c>
      <c r="L277" s="285"/>
      <c r="M277" s="285"/>
      <c r="N277" s="285"/>
      <c r="O277" s="286"/>
      <c r="P277" s="286"/>
      <c r="Q277" s="287"/>
      <c r="R277" s="77"/>
      <c r="S277" s="77"/>
      <c r="T277" s="77"/>
      <c r="U277" s="77"/>
      <c r="V277" s="96"/>
      <c r="AE277" s="14"/>
    </row>
    <row r="278" spans="2:31" ht="18">
      <c r="B278" s="98"/>
      <c r="C278" s="77"/>
      <c r="D278" s="77"/>
      <c r="E278" s="77"/>
      <c r="F278" s="77"/>
      <c r="G278" s="80"/>
      <c r="H278" s="81"/>
      <c r="I278" s="81"/>
      <c r="J278" s="106"/>
      <c r="K278" s="107"/>
      <c r="L278" s="81"/>
      <c r="M278" s="81"/>
      <c r="N278" s="81"/>
      <c r="O278" s="81"/>
      <c r="P278" s="81"/>
      <c r="Q278" s="108"/>
      <c r="R278" s="77"/>
      <c r="S278" s="77"/>
      <c r="T278" s="77"/>
      <c r="U278" s="77"/>
      <c r="V278" s="96"/>
      <c r="AE278" s="14"/>
    </row>
    <row r="279" spans="2:31" ht="18.75">
      <c r="B279" s="98"/>
      <c r="C279" s="77"/>
      <c r="D279" s="77"/>
      <c r="E279" s="77"/>
      <c r="F279" s="77"/>
      <c r="G279" s="98"/>
      <c r="H279" s="77"/>
      <c r="I279" s="77"/>
      <c r="J279" s="109"/>
      <c r="K279" s="292" t="s">
        <v>66</v>
      </c>
      <c r="L279" s="293"/>
      <c r="M279" s="293"/>
      <c r="N279" s="293"/>
      <c r="O279" s="293"/>
      <c r="P279" s="120">
        <f>P274</f>
        <v>100.67450900163669</v>
      </c>
      <c r="Q279" s="111" t="str">
        <f>Q274</f>
        <v xml:space="preserve"> °C</v>
      </c>
      <c r="R279" s="77"/>
      <c r="S279" s="77"/>
      <c r="T279" s="77"/>
      <c r="U279" s="77"/>
      <c r="V279" s="96"/>
      <c r="AE279" s="14"/>
    </row>
    <row r="280" spans="2:31" ht="18.75">
      <c r="B280" s="98"/>
      <c r="C280" s="77"/>
      <c r="D280" s="77"/>
      <c r="E280" s="77"/>
      <c r="F280" s="77"/>
      <c r="G280" s="98"/>
      <c r="H280" s="77"/>
      <c r="I280" s="77"/>
      <c r="J280" s="109"/>
      <c r="K280" s="292" t="s">
        <v>67</v>
      </c>
      <c r="L280" s="293"/>
      <c r="M280" s="293"/>
      <c r="N280" s="293"/>
      <c r="O280" s="293"/>
      <c r="P280" s="120">
        <f>MEDIAN(R208:T208)</f>
        <v>121</v>
      </c>
      <c r="Q280" s="111" t="s">
        <v>62</v>
      </c>
      <c r="R280" s="77"/>
      <c r="S280" s="77"/>
      <c r="T280" s="77"/>
      <c r="U280" s="77"/>
      <c r="V280" s="96"/>
    </row>
    <row r="281" spans="2:31" ht="19.5" thickBot="1">
      <c r="B281" s="98"/>
      <c r="C281" s="77"/>
      <c r="D281" s="77"/>
      <c r="E281" s="77"/>
      <c r="F281" s="77"/>
      <c r="G281" s="112"/>
      <c r="H281" s="113"/>
      <c r="I281" s="113"/>
      <c r="J281" s="114"/>
      <c r="K281" s="299"/>
      <c r="L281" s="297"/>
      <c r="M281" s="297"/>
      <c r="N281" s="297"/>
      <c r="O281" s="297"/>
      <c r="P281" s="121"/>
      <c r="Q281" s="116"/>
      <c r="R281" s="77"/>
      <c r="S281" s="77"/>
      <c r="T281" s="77"/>
      <c r="U281" s="77"/>
      <c r="V281" s="96"/>
    </row>
    <row r="282" spans="2:31" ht="18">
      <c r="B282" s="98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96"/>
    </row>
    <row r="283" spans="2:31" ht="18">
      <c r="B283" s="98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117" t="s">
        <v>65</v>
      </c>
      <c r="N283" s="118">
        <f>P274-P280</f>
        <v>-20.325490998363307</v>
      </c>
      <c r="O283" s="119" t="str">
        <f>Q280</f>
        <v xml:space="preserve"> °C</v>
      </c>
      <c r="P283" s="77"/>
      <c r="Q283" s="77"/>
      <c r="R283" s="77"/>
      <c r="S283" s="77"/>
      <c r="T283" s="77"/>
      <c r="U283" s="77"/>
      <c r="V283" s="96"/>
    </row>
    <row r="284" spans="2:31" ht="18.75" thickBot="1">
      <c r="B284" s="98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96"/>
      <c r="AE284" s="14"/>
    </row>
    <row r="285" spans="2:31" ht="18.75">
      <c r="B285" s="98"/>
      <c r="C285" s="77"/>
      <c r="D285" s="77"/>
      <c r="E285" s="77"/>
      <c r="F285" s="77"/>
      <c r="G285" s="298" t="s">
        <v>84</v>
      </c>
      <c r="H285" s="280"/>
      <c r="I285" s="280"/>
      <c r="J285" s="280"/>
      <c r="K285" s="280"/>
      <c r="L285" s="280"/>
      <c r="M285" s="280"/>
      <c r="N285" s="280"/>
      <c r="O285" s="280"/>
      <c r="P285" s="280"/>
      <c r="Q285" s="281"/>
      <c r="R285" s="77"/>
      <c r="S285" s="77"/>
      <c r="T285" s="77"/>
      <c r="U285" s="77"/>
      <c r="V285" s="96"/>
    </row>
    <row r="286" spans="2:31" ht="18.75">
      <c r="B286" s="98"/>
      <c r="C286" s="77"/>
      <c r="D286" s="77"/>
      <c r="E286" s="77"/>
      <c r="F286" s="77"/>
      <c r="G286" s="282" t="str">
        <f>G277</f>
        <v>Formula</v>
      </c>
      <c r="H286" s="283"/>
      <c r="I286" s="283"/>
      <c r="J286" s="283"/>
      <c r="K286" s="284" t="str">
        <f>K277</f>
        <v>Variáveis</v>
      </c>
      <c r="L286" s="285"/>
      <c r="M286" s="285"/>
      <c r="N286" s="285"/>
      <c r="O286" s="286"/>
      <c r="P286" s="286"/>
      <c r="Q286" s="287"/>
      <c r="R286" s="77"/>
      <c r="S286" s="77"/>
      <c r="T286" s="77"/>
      <c r="U286" s="77"/>
      <c r="V286" s="96"/>
    </row>
    <row r="287" spans="2:31" ht="18">
      <c r="B287" s="98"/>
      <c r="C287" s="77"/>
      <c r="D287" s="77"/>
      <c r="E287" s="77"/>
      <c r="F287" s="77"/>
      <c r="G287" s="80"/>
      <c r="H287" s="81"/>
      <c r="I287" s="81"/>
      <c r="J287" s="106"/>
      <c r="K287" s="107"/>
      <c r="L287" s="81"/>
      <c r="M287" s="81"/>
      <c r="N287" s="81"/>
      <c r="O287" s="81"/>
      <c r="P287" s="81"/>
      <c r="Q287" s="108"/>
      <c r="R287" s="77"/>
      <c r="S287" s="77"/>
      <c r="T287" s="77"/>
      <c r="U287" s="77"/>
      <c r="V287" s="96"/>
    </row>
    <row r="288" spans="2:31" ht="18.75">
      <c r="B288" s="98"/>
      <c r="C288" s="77"/>
      <c r="D288" s="77"/>
      <c r="E288" s="77"/>
      <c r="F288" s="77"/>
      <c r="G288" s="98"/>
      <c r="H288" s="77"/>
      <c r="I288" s="77"/>
      <c r="J288" s="109"/>
      <c r="K288" s="292" t="s">
        <v>79</v>
      </c>
      <c r="L288" s="293"/>
      <c r="M288" s="293"/>
      <c r="N288" s="293"/>
      <c r="O288" s="293"/>
      <c r="P288" s="120">
        <v>40</v>
      </c>
      <c r="Q288" s="111" t="str">
        <f>Q280</f>
        <v xml:space="preserve"> °C</v>
      </c>
      <c r="R288" s="77"/>
      <c r="S288" s="77"/>
      <c r="T288" s="77"/>
      <c r="U288" s="77"/>
      <c r="V288" s="96"/>
    </row>
    <row r="289" spans="2:22" ht="18.75">
      <c r="B289" s="98"/>
      <c r="C289" s="77"/>
      <c r="D289" s="77"/>
      <c r="E289" s="77"/>
      <c r="F289" s="77"/>
      <c r="G289" s="98"/>
      <c r="H289" s="77"/>
      <c r="I289" s="77"/>
      <c r="J289" s="109"/>
      <c r="K289" s="292" t="str">
        <f>K280</f>
        <v>Temp. Amb.  no desligamento - T2</v>
      </c>
      <c r="L289" s="293"/>
      <c r="M289" s="293"/>
      <c r="N289" s="293"/>
      <c r="O289" s="293"/>
      <c r="P289" s="120">
        <f>P280</f>
        <v>121</v>
      </c>
      <c r="Q289" s="111" t="str">
        <f>Q280</f>
        <v xml:space="preserve"> °C</v>
      </c>
      <c r="R289" s="77"/>
      <c r="S289" s="77"/>
      <c r="T289" s="77"/>
      <c r="U289" s="77"/>
      <c r="V289" s="96"/>
    </row>
    <row r="290" spans="2:22" ht="18.75">
      <c r="B290" s="98"/>
      <c r="C290" s="77"/>
      <c r="D290" s="77"/>
      <c r="E290" s="77"/>
      <c r="F290" s="77"/>
      <c r="G290" s="98"/>
      <c r="H290" s="77"/>
      <c r="I290" s="77"/>
      <c r="J290" s="109"/>
      <c r="K290" s="292" t="s">
        <v>68</v>
      </c>
      <c r="L290" s="293"/>
      <c r="M290" s="293"/>
      <c r="N290" s="293"/>
      <c r="O290" s="293"/>
      <c r="P290" s="120">
        <f>N283</f>
        <v>-20.325490998363307</v>
      </c>
      <c r="Q290" s="111" t="str">
        <f>O283</f>
        <v xml:space="preserve"> °C</v>
      </c>
      <c r="R290" s="77"/>
      <c r="S290" s="77"/>
      <c r="T290" s="77"/>
      <c r="U290" s="77"/>
      <c r="V290" s="96"/>
    </row>
    <row r="291" spans="2:22" ht="19.5" thickBot="1">
      <c r="B291" s="98"/>
      <c r="C291" s="77"/>
      <c r="D291" s="77"/>
      <c r="E291" s="77"/>
      <c r="F291" s="77"/>
      <c r="G291" s="112"/>
      <c r="H291" s="113"/>
      <c r="I291" s="113"/>
      <c r="J291" s="114"/>
      <c r="K291" s="277"/>
      <c r="L291" s="297"/>
      <c r="M291" s="297"/>
      <c r="N291" s="297"/>
      <c r="O291" s="297"/>
      <c r="P291" s="115"/>
      <c r="Q291" s="116"/>
      <c r="R291" s="77"/>
      <c r="S291" s="77"/>
      <c r="T291" s="77"/>
      <c r="U291" s="77"/>
      <c r="V291" s="96"/>
    </row>
    <row r="292" spans="2:22" ht="18">
      <c r="B292" s="98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96"/>
    </row>
    <row r="293" spans="2:22" ht="18">
      <c r="B293" s="98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117" t="s">
        <v>86</v>
      </c>
      <c r="P293" s="118">
        <f>(P290*(BH27+P288)/(BH27+P289))+P288</f>
        <v>24.432788686224633</v>
      </c>
      <c r="Q293" s="119" t="str">
        <f>O283</f>
        <v xml:space="preserve"> °C</v>
      </c>
      <c r="R293" s="77"/>
      <c r="S293" s="77"/>
      <c r="T293" s="77"/>
      <c r="U293" s="77"/>
      <c r="V293" s="96"/>
    </row>
    <row r="294" spans="2:22" ht="18.75" thickBot="1">
      <c r="B294" s="98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96"/>
    </row>
    <row r="295" spans="2:22" ht="18.75">
      <c r="B295" s="98"/>
      <c r="C295" s="77"/>
      <c r="D295" s="77"/>
      <c r="E295" s="77"/>
      <c r="F295" s="77"/>
      <c r="G295" s="298" t="s">
        <v>87</v>
      </c>
      <c r="H295" s="280"/>
      <c r="I295" s="280"/>
      <c r="J295" s="280"/>
      <c r="K295" s="280"/>
      <c r="L295" s="280"/>
      <c r="M295" s="280"/>
      <c r="N295" s="280"/>
      <c r="O295" s="280"/>
      <c r="P295" s="280"/>
      <c r="Q295" s="281"/>
      <c r="R295" s="77"/>
      <c r="S295" s="77"/>
      <c r="T295" s="77"/>
      <c r="U295" s="77"/>
      <c r="V295" s="96"/>
    </row>
    <row r="296" spans="2:22" ht="18.75">
      <c r="B296" s="98"/>
      <c r="C296" s="77"/>
      <c r="D296" s="77"/>
      <c r="E296" s="77"/>
      <c r="F296" s="77"/>
      <c r="G296" s="282" t="str">
        <f>G286</f>
        <v>Formula</v>
      </c>
      <c r="H296" s="283"/>
      <c r="I296" s="283"/>
      <c r="J296" s="283"/>
      <c r="K296" s="284" t="str">
        <f>K286</f>
        <v>Variáveis</v>
      </c>
      <c r="L296" s="285"/>
      <c r="M296" s="285"/>
      <c r="N296" s="285"/>
      <c r="O296" s="286"/>
      <c r="P296" s="286"/>
      <c r="Q296" s="287"/>
      <c r="R296" s="77"/>
      <c r="S296" s="77"/>
      <c r="T296" s="77"/>
      <c r="U296" s="77"/>
      <c r="V296" s="96"/>
    </row>
    <row r="297" spans="2:22" ht="18">
      <c r="B297" s="98"/>
      <c r="C297" s="77"/>
      <c r="D297" s="77"/>
      <c r="E297" s="77"/>
      <c r="F297" s="77"/>
      <c r="G297" s="80"/>
      <c r="H297" s="81"/>
      <c r="I297" s="81"/>
      <c r="J297" s="106"/>
      <c r="K297" s="107"/>
      <c r="L297" s="81"/>
      <c r="M297" s="81"/>
      <c r="N297" s="81"/>
      <c r="O297" s="81"/>
      <c r="P297" s="81"/>
      <c r="Q297" s="108"/>
      <c r="R297" s="77"/>
      <c r="S297" s="77"/>
      <c r="T297" s="77"/>
      <c r="U297" s="77"/>
      <c r="V297" s="96"/>
    </row>
    <row r="298" spans="2:22" ht="18.75">
      <c r="B298" s="98"/>
      <c r="C298" s="77"/>
      <c r="D298" s="77"/>
      <c r="E298" s="77"/>
      <c r="F298" s="77"/>
      <c r="G298" s="98"/>
      <c r="H298" s="77"/>
      <c r="I298" s="77"/>
      <c r="J298" s="109"/>
      <c r="K298" s="292" t="s">
        <v>88</v>
      </c>
      <c r="L298" s="293"/>
      <c r="M298" s="293"/>
      <c r="N298" s="293"/>
      <c r="O298" s="293"/>
      <c r="P298" s="120">
        <f>P293</f>
        <v>24.432788686224633</v>
      </c>
      <c r="Q298" s="111" t="str">
        <f>Q290</f>
        <v xml:space="preserve"> °C</v>
      </c>
      <c r="R298" s="77"/>
      <c r="S298" s="77"/>
      <c r="T298" s="77"/>
      <c r="U298" s="77"/>
      <c r="V298" s="96"/>
    </row>
    <row r="299" spans="2:22" ht="18.75">
      <c r="B299" s="98"/>
      <c r="C299" s="77"/>
      <c r="D299" s="77"/>
      <c r="E299" s="77"/>
      <c r="F299" s="77"/>
      <c r="G299" s="98"/>
      <c r="H299" s="77"/>
      <c r="I299" s="77"/>
      <c r="J299" s="109"/>
      <c r="K299" s="292" t="s">
        <v>79</v>
      </c>
      <c r="L299" s="293"/>
      <c r="M299" s="293"/>
      <c r="N299" s="293"/>
      <c r="O299" s="293"/>
      <c r="P299" s="120">
        <f>P288</f>
        <v>40</v>
      </c>
      <c r="Q299" s="111" t="str">
        <f>Q298</f>
        <v xml:space="preserve"> °C</v>
      </c>
      <c r="R299" s="77"/>
      <c r="S299" s="77"/>
      <c r="T299" s="77"/>
      <c r="U299" s="77"/>
      <c r="V299" s="96"/>
    </row>
    <row r="300" spans="2:22" ht="19.5" thickBot="1">
      <c r="B300" s="98"/>
      <c r="C300" s="77"/>
      <c r="D300" s="77"/>
      <c r="E300" s="77"/>
      <c r="F300" s="77"/>
      <c r="G300" s="112"/>
      <c r="H300" s="113"/>
      <c r="I300" s="113"/>
      <c r="J300" s="114"/>
      <c r="K300" s="277"/>
      <c r="L300" s="297"/>
      <c r="M300" s="297"/>
      <c r="N300" s="297"/>
      <c r="O300" s="297"/>
      <c r="P300" s="115"/>
      <c r="Q300" s="116"/>
      <c r="R300" s="77"/>
      <c r="S300" s="77"/>
      <c r="T300" s="77"/>
      <c r="U300" s="77"/>
      <c r="V300" s="96"/>
    </row>
    <row r="301" spans="2:22" ht="18">
      <c r="B301" s="98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96"/>
    </row>
    <row r="302" spans="2:22" ht="18">
      <c r="B302" s="98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117" t="s">
        <v>89</v>
      </c>
      <c r="P302" s="118">
        <f>P298-P299</f>
        <v>-15.567211313775367</v>
      </c>
      <c r="Q302" s="119" t="str">
        <f>Q293</f>
        <v xml:space="preserve"> °C</v>
      </c>
      <c r="R302" s="77"/>
      <c r="S302" s="77"/>
      <c r="T302" s="77"/>
      <c r="U302" s="77"/>
      <c r="V302" s="96"/>
    </row>
    <row r="303" spans="2:22" ht="18.75" thickBot="1">
      <c r="B303" s="98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117"/>
      <c r="P303" s="118"/>
      <c r="Q303" s="119"/>
      <c r="R303" s="77"/>
      <c r="S303" s="77"/>
      <c r="T303" s="77"/>
      <c r="U303" s="77"/>
      <c r="V303" s="96"/>
    </row>
    <row r="304" spans="2:22" ht="18.75">
      <c r="B304" s="98"/>
      <c r="C304" s="77"/>
      <c r="D304" s="77"/>
      <c r="E304" s="77"/>
      <c r="F304" s="77"/>
      <c r="G304" s="298" t="s">
        <v>145</v>
      </c>
      <c r="H304" s="280"/>
      <c r="I304" s="280"/>
      <c r="J304" s="280"/>
      <c r="K304" s="280"/>
      <c r="L304" s="280"/>
      <c r="M304" s="280"/>
      <c r="N304" s="280"/>
      <c r="O304" s="280"/>
      <c r="P304" s="280"/>
      <c r="Q304" s="281"/>
      <c r="R304" s="77"/>
      <c r="S304" s="77"/>
      <c r="T304" s="77"/>
      <c r="U304" s="77"/>
      <c r="V304" s="96"/>
    </row>
    <row r="305" spans="2:22" ht="18.75">
      <c r="B305" s="98"/>
      <c r="C305" s="77"/>
      <c r="D305" s="77"/>
      <c r="E305" s="77"/>
      <c r="F305" s="77"/>
      <c r="G305" s="282" t="str">
        <f>G296</f>
        <v>Formula</v>
      </c>
      <c r="H305" s="283"/>
      <c r="I305" s="283"/>
      <c r="J305" s="283"/>
      <c r="K305" s="284" t="str">
        <f>K296</f>
        <v>Variáveis</v>
      </c>
      <c r="L305" s="285"/>
      <c r="M305" s="285"/>
      <c r="N305" s="285"/>
      <c r="O305" s="286"/>
      <c r="P305" s="286"/>
      <c r="Q305" s="287"/>
      <c r="R305" s="77"/>
      <c r="S305" s="77"/>
      <c r="T305" s="77"/>
      <c r="U305" s="77"/>
      <c r="V305" s="96"/>
    </row>
    <row r="306" spans="2:22" ht="18">
      <c r="B306" s="98"/>
      <c r="C306" s="77"/>
      <c r="D306" s="77"/>
      <c r="E306" s="77"/>
      <c r="F306" s="77"/>
      <c r="G306" s="80"/>
      <c r="H306" s="81"/>
      <c r="I306" s="81"/>
      <c r="J306" s="106"/>
      <c r="K306" s="107"/>
      <c r="L306" s="81"/>
      <c r="M306" s="81"/>
      <c r="N306" s="81"/>
      <c r="O306" s="81"/>
      <c r="P306" s="81"/>
      <c r="Q306" s="108"/>
      <c r="R306" s="77"/>
      <c r="S306" s="77"/>
      <c r="T306" s="77"/>
      <c r="U306" s="77"/>
      <c r="V306" s="96"/>
    </row>
    <row r="307" spans="2:22" ht="18.75">
      <c r="B307" s="98"/>
      <c r="C307" s="77"/>
      <c r="D307" s="77"/>
      <c r="E307" s="77"/>
      <c r="F307" s="77"/>
      <c r="G307" s="98"/>
      <c r="H307" s="77"/>
      <c r="I307" s="77"/>
      <c r="J307" s="109"/>
      <c r="K307" s="292" t="s">
        <v>88</v>
      </c>
      <c r="L307" s="312"/>
      <c r="M307" s="312"/>
      <c r="N307" s="312"/>
      <c r="O307" s="312"/>
      <c r="P307" s="120">
        <f>P298</f>
        <v>24.432788686224633</v>
      </c>
      <c r="Q307" s="111" t="str">
        <f>Q299</f>
        <v xml:space="preserve"> °C</v>
      </c>
      <c r="R307" s="77"/>
      <c r="S307" s="77"/>
      <c r="T307" s="77"/>
      <c r="U307" s="77"/>
      <c r="V307" s="96"/>
    </row>
    <row r="308" spans="2:22" ht="18.75">
      <c r="B308" s="98"/>
      <c r="C308" s="77"/>
      <c r="D308" s="77"/>
      <c r="E308" s="77"/>
      <c r="F308" s="77"/>
      <c r="G308" s="98"/>
      <c r="H308" s="77"/>
      <c r="I308" s="77"/>
      <c r="J308" s="109"/>
      <c r="K308" s="292" t="s">
        <v>96</v>
      </c>
      <c r="L308" s="312"/>
      <c r="M308" s="312"/>
      <c r="N308" s="312"/>
      <c r="O308" s="312"/>
      <c r="P308" s="120">
        <v>10</v>
      </c>
      <c r="Q308" s="111" t="s">
        <v>97</v>
      </c>
      <c r="R308" s="77"/>
      <c r="S308" s="77"/>
      <c r="T308" s="77"/>
      <c r="U308" s="77"/>
      <c r="V308" s="96"/>
    </row>
    <row r="309" spans="2:22" ht="18.75">
      <c r="B309" s="98"/>
      <c r="C309" s="77"/>
      <c r="D309" s="77"/>
      <c r="E309" s="77"/>
      <c r="F309" s="77"/>
      <c r="G309" s="98"/>
      <c r="H309" s="77"/>
      <c r="I309" s="77"/>
      <c r="J309" s="109"/>
      <c r="K309" s="292" t="s">
        <v>99</v>
      </c>
      <c r="L309" s="312"/>
      <c r="M309" s="312"/>
      <c r="N309" s="312"/>
      <c r="O309" s="312"/>
      <c r="P309" s="151">
        <f>COLUMN()</f>
        <v>16</v>
      </c>
      <c r="Q309" s="111" t="s">
        <v>98</v>
      </c>
      <c r="R309" s="77"/>
      <c r="S309" s="77"/>
      <c r="T309" s="77"/>
      <c r="U309" s="77"/>
      <c r="V309" s="96"/>
    </row>
    <row r="310" spans="2:22" ht="18.75">
      <c r="B310" s="98"/>
      <c r="C310" s="77"/>
      <c r="D310" s="77"/>
      <c r="E310" s="77"/>
      <c r="F310" s="77"/>
      <c r="G310" s="98"/>
      <c r="H310" s="77"/>
      <c r="I310" s="77"/>
      <c r="J310" s="109"/>
      <c r="K310" s="292" t="s">
        <v>100</v>
      </c>
      <c r="L310" s="312"/>
      <c r="M310" s="312"/>
      <c r="N310" s="312"/>
      <c r="O310" s="312"/>
      <c r="P310" s="120">
        <v>1</v>
      </c>
      <c r="Q310" s="111" t="s">
        <v>102</v>
      </c>
      <c r="R310" s="77"/>
      <c r="S310" s="77"/>
      <c r="T310" s="77"/>
      <c r="U310" s="77"/>
      <c r="V310" s="96"/>
    </row>
    <row r="311" spans="2:22" ht="19.5" thickBot="1">
      <c r="B311" s="98"/>
      <c r="C311" s="77"/>
      <c r="D311" s="77"/>
      <c r="E311" s="77"/>
      <c r="F311" s="77"/>
      <c r="G311" s="112"/>
      <c r="H311" s="113"/>
      <c r="I311" s="113"/>
      <c r="J311" s="114"/>
      <c r="K311" s="277"/>
      <c r="L311" s="313"/>
      <c r="M311" s="313"/>
      <c r="N311" s="313"/>
      <c r="O311" s="313"/>
      <c r="P311" s="115"/>
      <c r="Q311" s="116"/>
      <c r="R311" s="77"/>
      <c r="S311" s="77"/>
      <c r="T311" s="77"/>
      <c r="U311" s="77"/>
      <c r="V311" s="96"/>
    </row>
    <row r="312" spans="2:22" ht="18">
      <c r="B312" s="98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96"/>
    </row>
    <row r="313" spans="2:22" ht="18.75">
      <c r="B313" s="98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117" t="s">
        <v>146</v>
      </c>
      <c r="P313" s="118">
        <f>P307+((2*(P307+BH27))/((45700/((P308*1000)/P309)^2*P310)-1))</f>
        <v>-540.52877154023906</v>
      </c>
      <c r="Q313" s="119" t="str">
        <f>Q302</f>
        <v xml:space="preserve"> °C</v>
      </c>
      <c r="R313" s="77"/>
      <c r="S313" s="77"/>
      <c r="T313" s="77"/>
      <c r="U313" s="77"/>
      <c r="V313" s="96"/>
    </row>
    <row r="314" spans="2:22" ht="18">
      <c r="B314" s="98"/>
      <c r="C314" s="77"/>
      <c r="D314" s="77"/>
      <c r="E314" s="77"/>
      <c r="F314" s="77"/>
      <c r="G314" s="77"/>
      <c r="H314" s="77"/>
      <c r="I314" s="77"/>
      <c r="J314" s="77"/>
      <c r="K314" s="117"/>
      <c r="L314" s="118"/>
      <c r="M314" s="119"/>
      <c r="N314" s="77"/>
      <c r="O314" s="77"/>
      <c r="P314" s="77"/>
      <c r="Q314" s="77"/>
      <c r="R314" s="77"/>
      <c r="S314" s="77"/>
      <c r="T314" s="77"/>
      <c r="U314" s="77"/>
      <c r="V314" s="96"/>
    </row>
    <row r="315" spans="2:22" ht="18">
      <c r="B315" s="289" t="s">
        <v>70</v>
      </c>
      <c r="C315" s="290"/>
      <c r="D315" s="290"/>
      <c r="E315" s="290"/>
      <c r="F315" s="290"/>
      <c r="G315" s="290"/>
      <c r="H315" s="290"/>
      <c r="I315" s="290"/>
      <c r="J315" s="290"/>
      <c r="K315" s="290"/>
      <c r="L315" s="290"/>
      <c r="M315" s="290"/>
      <c r="N315" s="290"/>
      <c r="O315" s="290"/>
      <c r="P315" s="290"/>
      <c r="Q315" s="290"/>
      <c r="R315" s="290"/>
      <c r="S315" s="290"/>
      <c r="T315" s="290"/>
      <c r="U315" s="290"/>
      <c r="V315" s="291"/>
    </row>
    <row r="316" spans="2:22" ht="18">
      <c r="B316" s="98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96"/>
    </row>
    <row r="317" spans="2:22" ht="18">
      <c r="B317" s="98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96"/>
    </row>
    <row r="318" spans="2:22" ht="18">
      <c r="B318" s="98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96"/>
    </row>
    <row r="319" spans="2:22" ht="18">
      <c r="B319" s="98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96"/>
    </row>
    <row r="320" spans="2:22" ht="18.75" thickBot="1">
      <c r="B320" s="98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96"/>
    </row>
    <row r="321" spans="2:27" ht="18.75">
      <c r="B321" s="98"/>
      <c r="C321" s="77"/>
      <c r="D321" s="77"/>
      <c r="E321" s="77"/>
      <c r="F321" s="77"/>
      <c r="G321" s="77"/>
      <c r="H321" s="77"/>
      <c r="I321" s="301" t="s">
        <v>72</v>
      </c>
      <c r="J321" s="302"/>
      <c r="K321" s="302"/>
      <c r="L321" s="302"/>
      <c r="M321" s="302"/>
      <c r="N321" s="303"/>
      <c r="O321" s="77"/>
      <c r="P321" s="77"/>
      <c r="Q321" s="77"/>
      <c r="R321" s="77"/>
      <c r="S321" s="77"/>
      <c r="T321" s="77"/>
      <c r="U321" s="77"/>
      <c r="V321" s="96"/>
    </row>
    <row r="322" spans="2:27" ht="18.75">
      <c r="B322" s="98"/>
      <c r="C322" s="77"/>
      <c r="D322" s="77"/>
      <c r="E322" s="77"/>
      <c r="F322" s="77"/>
      <c r="G322" s="77"/>
      <c r="H322" s="77"/>
      <c r="I322" s="304" t="s">
        <v>71</v>
      </c>
      <c r="J322" s="305"/>
      <c r="K322" s="305"/>
      <c r="L322" s="305"/>
      <c r="M322" s="306" t="s">
        <v>95</v>
      </c>
      <c r="N322" s="307"/>
      <c r="O322" s="77"/>
      <c r="P322" s="77"/>
      <c r="Q322" s="77"/>
      <c r="R322" s="77"/>
      <c r="S322" s="77"/>
      <c r="T322" s="77"/>
      <c r="U322" s="77"/>
      <c r="V322" s="96"/>
    </row>
    <row r="323" spans="2:27" ht="19.5" thickBot="1">
      <c r="B323" s="98"/>
      <c r="C323" s="77"/>
      <c r="D323" s="77"/>
      <c r="E323" s="77"/>
      <c r="F323" s="77"/>
      <c r="G323" s="77"/>
      <c r="H323" s="77"/>
      <c r="I323" s="308" t="s">
        <v>85</v>
      </c>
      <c r="J323" s="309"/>
      <c r="K323" s="309"/>
      <c r="L323" s="309"/>
      <c r="M323" s="122">
        <f>P293</f>
        <v>24.432788686224633</v>
      </c>
      <c r="N323" s="123" t="str">
        <f>Q293</f>
        <v xml:space="preserve"> °C</v>
      </c>
      <c r="O323" s="77"/>
      <c r="P323" s="77"/>
      <c r="Q323" s="77"/>
      <c r="R323" s="77"/>
      <c r="S323" s="77"/>
      <c r="T323" s="77"/>
      <c r="U323" s="77"/>
      <c r="V323" s="96"/>
    </row>
    <row r="324" spans="2:27" ht="18">
      <c r="B324" s="98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96"/>
    </row>
    <row r="325" spans="2:27" ht="18.75">
      <c r="B325" s="98"/>
      <c r="C325" s="77"/>
      <c r="D325" s="77"/>
      <c r="E325" s="77"/>
      <c r="F325" s="77"/>
      <c r="G325" s="310" t="s">
        <v>74</v>
      </c>
      <c r="H325" s="310"/>
      <c r="I325" s="310"/>
      <c r="J325" s="311">
        <f ca="1">TODAY()</f>
        <v>44938</v>
      </c>
      <c r="K325" s="312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96"/>
    </row>
    <row r="326" spans="2:27" ht="18.75">
      <c r="B326" s="98"/>
      <c r="C326" s="77"/>
      <c r="D326" s="77"/>
      <c r="E326" s="77"/>
      <c r="F326" s="77"/>
      <c r="G326" s="77"/>
      <c r="H326" s="117"/>
      <c r="I326" s="124"/>
      <c r="J326" s="125"/>
      <c r="K326" s="126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96"/>
    </row>
    <row r="327" spans="2:27" ht="18">
      <c r="B327" s="98"/>
      <c r="C327" s="77"/>
      <c r="D327" s="77"/>
      <c r="E327" s="77"/>
      <c r="F327" s="77"/>
      <c r="G327" s="77"/>
      <c r="H327" s="127" t="s">
        <v>73</v>
      </c>
      <c r="I327" s="95"/>
      <c r="J327" s="95"/>
      <c r="K327" s="95"/>
      <c r="L327" s="77"/>
      <c r="M327" s="77"/>
      <c r="N327" s="127" t="s">
        <v>93</v>
      </c>
      <c r="O327" s="77"/>
      <c r="P327" s="77"/>
      <c r="Q327" s="95"/>
      <c r="R327" s="95"/>
      <c r="S327" s="95"/>
      <c r="T327" s="95"/>
      <c r="U327" s="95"/>
      <c r="V327" s="128"/>
      <c r="W327" s="147"/>
      <c r="X327" s="147"/>
      <c r="Y327" s="42"/>
      <c r="Z327" s="42"/>
      <c r="AA327" s="42"/>
    </row>
    <row r="328" spans="2:27" ht="18">
      <c r="B328" s="94"/>
      <c r="C328" s="95"/>
      <c r="D328" s="95"/>
      <c r="E328" s="95"/>
      <c r="F328" s="77"/>
      <c r="G328" s="77"/>
      <c r="H328" s="77"/>
      <c r="I328" s="77"/>
      <c r="J328" s="77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128"/>
    </row>
    <row r="329" spans="2:27" ht="18">
      <c r="B329" s="94"/>
      <c r="C329" s="95"/>
      <c r="D329" s="95"/>
      <c r="E329" s="95"/>
      <c r="F329" s="77"/>
      <c r="G329" s="77"/>
      <c r="H329" s="77"/>
      <c r="I329" s="77"/>
      <c r="J329" s="77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128"/>
    </row>
    <row r="330" spans="2:27" ht="18">
      <c r="B330" s="98"/>
      <c r="C330" s="77"/>
      <c r="D330" s="77"/>
      <c r="E330" s="77"/>
      <c r="F330" s="77"/>
      <c r="G330" s="127"/>
      <c r="H330" s="95"/>
      <c r="I330" s="95"/>
      <c r="J330" s="95"/>
      <c r="K330" s="77"/>
      <c r="L330" s="77"/>
      <c r="M330" s="77"/>
      <c r="N330" s="77"/>
      <c r="O330" s="77"/>
      <c r="P330" s="127"/>
      <c r="Q330" s="95"/>
      <c r="R330" s="95"/>
      <c r="S330" s="95"/>
      <c r="T330" s="95"/>
      <c r="U330" s="95"/>
      <c r="V330" s="128"/>
      <c r="W330" s="147"/>
      <c r="X330" s="147"/>
      <c r="Y330" s="42"/>
      <c r="Z330" s="42"/>
      <c r="AA330" s="42"/>
    </row>
    <row r="331" spans="2:27" ht="18">
      <c r="B331" s="98"/>
      <c r="C331" s="77"/>
      <c r="D331" s="77"/>
      <c r="E331" s="77"/>
      <c r="F331" s="77"/>
      <c r="G331" s="127"/>
      <c r="H331" s="95"/>
      <c r="I331" s="95"/>
      <c r="J331" s="95"/>
      <c r="K331" s="77"/>
      <c r="L331" s="77"/>
      <c r="M331" s="77"/>
      <c r="N331" s="77"/>
      <c r="O331" s="77"/>
      <c r="P331" s="127"/>
      <c r="Q331" s="95"/>
      <c r="R331" s="95"/>
      <c r="S331" s="95"/>
      <c r="T331" s="95"/>
      <c r="U331" s="95"/>
      <c r="V331" s="128"/>
      <c r="W331" s="147"/>
      <c r="X331" s="147"/>
      <c r="Y331" s="42"/>
      <c r="Z331" s="42"/>
      <c r="AA331" s="42"/>
    </row>
    <row r="332" spans="2:27" ht="18.75">
      <c r="B332" s="98"/>
      <c r="C332" s="77"/>
      <c r="D332" s="77"/>
      <c r="E332" s="77"/>
      <c r="F332" s="77"/>
      <c r="G332" s="294"/>
      <c r="H332" s="294"/>
      <c r="I332" s="294"/>
      <c r="J332" s="295"/>
      <c r="K332" s="295"/>
      <c r="L332" s="77"/>
      <c r="M332" s="294"/>
      <c r="N332" s="296"/>
      <c r="O332" s="296"/>
      <c r="P332" s="296"/>
      <c r="Q332" s="296"/>
      <c r="R332" s="95"/>
      <c r="S332" s="95"/>
      <c r="T332" s="95"/>
      <c r="U332" s="95"/>
      <c r="V332" s="128"/>
      <c r="W332" s="147"/>
      <c r="X332" s="147"/>
      <c r="Y332" s="42"/>
      <c r="Z332" s="42"/>
    </row>
    <row r="333" spans="2:27" ht="18">
      <c r="B333" s="98"/>
      <c r="C333" s="77"/>
      <c r="D333" s="77"/>
      <c r="E333" s="77"/>
      <c r="F333" s="77"/>
      <c r="G333" s="95"/>
      <c r="H333" s="95"/>
      <c r="I333" s="95"/>
      <c r="J333" s="95"/>
      <c r="K333" s="77"/>
      <c r="L333" s="77"/>
      <c r="M333" s="77"/>
      <c r="N333" s="77"/>
      <c r="O333" s="77"/>
      <c r="P333" s="95"/>
      <c r="Q333" s="95"/>
      <c r="R333" s="95"/>
      <c r="S333" s="95"/>
      <c r="T333" s="95"/>
      <c r="U333" s="95"/>
      <c r="V333" s="128"/>
      <c r="W333" s="147"/>
      <c r="X333" s="147"/>
      <c r="Y333" s="42"/>
      <c r="Z333" s="42"/>
      <c r="AA333" s="42"/>
    </row>
    <row r="334" spans="2:27" ht="15" customHeight="1">
      <c r="B334" s="98"/>
      <c r="C334" s="77"/>
      <c r="D334" s="77"/>
      <c r="E334" s="77"/>
      <c r="F334" s="269" t="s">
        <v>90</v>
      </c>
      <c r="G334" s="269"/>
      <c r="H334" s="269"/>
      <c r="I334" s="269"/>
      <c r="J334" s="269"/>
      <c r="K334" s="269"/>
      <c r="L334" s="269"/>
      <c r="M334" s="269"/>
      <c r="N334" s="269"/>
      <c r="O334" s="269"/>
      <c r="P334" s="269"/>
      <c r="Q334" s="269"/>
      <c r="R334" s="269"/>
      <c r="S334" s="126"/>
      <c r="T334" s="126"/>
      <c r="U334" s="126"/>
      <c r="V334" s="129"/>
      <c r="W334" s="149"/>
      <c r="X334" s="149"/>
      <c r="Y334" s="63"/>
      <c r="Z334" s="63"/>
    </row>
    <row r="335" spans="2:27" ht="18.75">
      <c r="B335" s="130"/>
      <c r="C335" s="126"/>
      <c r="D335" s="126"/>
      <c r="E335" s="124"/>
      <c r="F335" s="269"/>
      <c r="G335" s="269"/>
      <c r="H335" s="269"/>
      <c r="I335" s="269"/>
      <c r="J335" s="269"/>
      <c r="K335" s="269"/>
      <c r="L335" s="269"/>
      <c r="M335" s="269"/>
      <c r="N335" s="269"/>
      <c r="O335" s="269"/>
      <c r="P335" s="269"/>
      <c r="Q335" s="269"/>
      <c r="R335" s="269"/>
      <c r="S335" s="126"/>
      <c r="T335" s="126"/>
      <c r="U335" s="126"/>
      <c r="V335" s="129"/>
    </row>
    <row r="336" spans="2:27" ht="18.75" thickBot="1">
      <c r="B336" s="131"/>
      <c r="C336" s="132"/>
      <c r="D336" s="132"/>
      <c r="E336" s="132"/>
      <c r="F336" s="132"/>
      <c r="G336" s="132"/>
      <c r="H336" s="132"/>
      <c r="I336" s="132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  <c r="T336" s="113"/>
      <c r="U336" s="113"/>
      <c r="V336" s="133"/>
    </row>
  </sheetData>
  <mergeCells count="111">
    <mergeCell ref="J53:P54"/>
    <mergeCell ref="D2:V4"/>
    <mergeCell ref="B9:V9"/>
    <mergeCell ref="M17:N17"/>
    <mergeCell ref="C20:M28"/>
    <mergeCell ref="I34:M35"/>
    <mergeCell ref="N34:N35"/>
    <mergeCell ref="O34:O35"/>
    <mergeCell ref="B32:V32"/>
    <mergeCell ref="B18:V18"/>
    <mergeCell ref="F5:G5"/>
    <mergeCell ref="F6:G6"/>
    <mergeCell ref="F7:G7"/>
    <mergeCell ref="Q16:R16"/>
    <mergeCell ref="K237:M237"/>
    <mergeCell ref="B84:V84"/>
    <mergeCell ref="H43:I44"/>
    <mergeCell ref="J43:P44"/>
    <mergeCell ref="H45:I46"/>
    <mergeCell ref="J45:P46"/>
    <mergeCell ref="H47:I48"/>
    <mergeCell ref="J47:P48"/>
    <mergeCell ref="I36:M37"/>
    <mergeCell ref="N36:N37"/>
    <mergeCell ref="O36:O37"/>
    <mergeCell ref="H41:I42"/>
    <mergeCell ref="J41:P42"/>
    <mergeCell ref="B39:V39"/>
    <mergeCell ref="H55:I56"/>
    <mergeCell ref="J55:P56"/>
    <mergeCell ref="H57:I58"/>
    <mergeCell ref="J57:P58"/>
    <mergeCell ref="I61:O61"/>
    <mergeCell ref="H49:I50"/>
    <mergeCell ref="J49:P50"/>
    <mergeCell ref="H51:I52"/>
    <mergeCell ref="J51:P52"/>
    <mergeCell ref="H53:I54"/>
    <mergeCell ref="AD236:AK236"/>
    <mergeCell ref="B232:V232"/>
    <mergeCell ref="J234:N234"/>
    <mergeCell ref="R86:T86"/>
    <mergeCell ref="X55:AK55"/>
    <mergeCell ref="X2:AN2"/>
    <mergeCell ref="X3:AK3"/>
    <mergeCell ref="AL3:AN3"/>
    <mergeCell ref="X54:AN54"/>
    <mergeCell ref="I210:O210"/>
    <mergeCell ref="AL55:AN55"/>
    <mergeCell ref="K235:M235"/>
    <mergeCell ref="K236:M236"/>
    <mergeCell ref="J325:K325"/>
    <mergeCell ref="K307:O307"/>
    <mergeCell ref="K308:O308"/>
    <mergeCell ref="K309:O309"/>
    <mergeCell ref="K310:O310"/>
    <mergeCell ref="K311:O311"/>
    <mergeCell ref="K238:M238"/>
    <mergeCell ref="K239:M239"/>
    <mergeCell ref="K240:M240"/>
    <mergeCell ref="K241:M241"/>
    <mergeCell ref="K267:Q267"/>
    <mergeCell ref="G325:I325"/>
    <mergeCell ref="G332:K332"/>
    <mergeCell ref="M332:Q332"/>
    <mergeCell ref="D86:Q86"/>
    <mergeCell ref="K291:O291"/>
    <mergeCell ref="G295:Q295"/>
    <mergeCell ref="G296:J296"/>
    <mergeCell ref="K296:Q296"/>
    <mergeCell ref="K279:O279"/>
    <mergeCell ref="K280:O280"/>
    <mergeCell ref="K281:O281"/>
    <mergeCell ref="G285:Q285"/>
    <mergeCell ref="G286:J286"/>
    <mergeCell ref="K286:Q286"/>
    <mergeCell ref="K269:O269"/>
    <mergeCell ref="K270:O270"/>
    <mergeCell ref="K271:O271"/>
    <mergeCell ref="K298:O298"/>
    <mergeCell ref="K299:O299"/>
    <mergeCell ref="K300:O300"/>
    <mergeCell ref="G304:Q304"/>
    <mergeCell ref="I321:N321"/>
    <mergeCell ref="I322:L322"/>
    <mergeCell ref="M322:N322"/>
    <mergeCell ref="I323:L323"/>
    <mergeCell ref="F334:R335"/>
    <mergeCell ref="K242:M242"/>
    <mergeCell ref="K243:M243"/>
    <mergeCell ref="K244:M244"/>
    <mergeCell ref="K245:M245"/>
    <mergeCell ref="K246:M246"/>
    <mergeCell ref="K247:M247"/>
    <mergeCell ref="G267:J267"/>
    <mergeCell ref="G266:Q266"/>
    <mergeCell ref="K272:O272"/>
    <mergeCell ref="G276:Q276"/>
    <mergeCell ref="G277:J277"/>
    <mergeCell ref="K277:Q277"/>
    <mergeCell ref="I252:O252"/>
    <mergeCell ref="K250:M250"/>
    <mergeCell ref="K248:M248"/>
    <mergeCell ref="K249:M249"/>
    <mergeCell ref="B264:V264"/>
    <mergeCell ref="B315:V315"/>
    <mergeCell ref="G305:J305"/>
    <mergeCell ref="K305:Q305"/>
    <mergeCell ref="K288:O288"/>
    <mergeCell ref="K289:O289"/>
    <mergeCell ref="K290:O290"/>
  </mergeCells>
  <phoneticPr fontId="30" type="noConversion"/>
  <conditionalFormatting sqref="Y57:AN57">
    <cfRule type="expression" dxfId="4" priority="5">
      <formula>$E$92&lt;1</formula>
    </cfRule>
  </conditionalFormatting>
  <conditionalFormatting sqref="AL58:AN66 Y58:AK58">
    <cfRule type="expression" dxfId="3" priority="4">
      <formula>$E$96&lt;1</formula>
    </cfRule>
  </conditionalFormatting>
  <conditionalFormatting sqref="Y59:AK66">
    <cfRule type="expression" dxfId="2" priority="3">
      <formula>$E$100&lt;1</formula>
    </cfRule>
  </conditionalFormatting>
  <conditionalFormatting sqref="Y5:AN24">
    <cfRule type="cellIs" dxfId="1" priority="2" operator="lessThan">
      <formula>1</formula>
    </cfRule>
  </conditionalFormatting>
  <conditionalFormatting sqref="Y57:AN66">
    <cfRule type="cellIs" dxfId="0" priority="1" operator="lessThan">
      <formula>1</formula>
    </cfRule>
  </conditionalFormatting>
  <pageMargins left="0.51181102362204722" right="0.51181102362204722" top="0.78740157480314965" bottom="0.78740157480314965" header="0.31496062992125984" footer="0.31496062992125984"/>
  <pageSetup paperSize="9" scale="43" fitToHeight="0" orientation="portrait" r:id="rId1"/>
  <headerFooter>
    <oddFooter>Página &amp;P de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RET 8P (PT-BR)</vt:lpstr>
      <vt:lpstr>RET 16P (PT-BR)</vt:lpstr>
      <vt:lpstr>'RET 16P (PT-BR)'!Area_de_impressao</vt:lpstr>
      <vt:lpstr>'RET 8P (PT-BR)'!Area_de_impressao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Quaresma da Silva</dc:creator>
  <cp:lastModifiedBy>Felipe Franchi Pires</cp:lastModifiedBy>
  <cp:lastPrinted>2022-04-14T19:04:41Z</cp:lastPrinted>
  <dcterms:created xsi:type="dcterms:W3CDTF">2019-02-18T12:01:04Z</dcterms:created>
  <dcterms:modified xsi:type="dcterms:W3CDTF">2023-01-12T17:37:56Z</dcterms:modified>
</cp:coreProperties>
</file>